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izarra Virtual\"/>
    </mc:Choice>
  </mc:AlternateContent>
  <xr:revisionPtr revIDLastSave="0" documentId="8_{77C818DA-0499-4363-9E68-A242107F38B1}" xr6:coauthVersionLast="47" xr6:coauthVersionMax="47" xr10:uidLastSave="{00000000-0000-0000-0000-000000000000}"/>
  <bookViews>
    <workbookView xWindow="-120" yWindow="-120" windowWidth="29040" windowHeight="15840" tabRatio="581" xr2:uid="{00000000-000D-0000-FFFF-FFFF00000000}"/>
  </bookViews>
  <sheets>
    <sheet name="CONTROL DE EQUIPOS CABELAB" sheetId="1" r:id="rId1"/>
    <sheet name="Hoja3" sheetId="7" r:id="rId2"/>
    <sheet name="MATRIZ" sheetId="2" r:id="rId3"/>
    <sheet name="EQUIPOS ANTIGUOS " sheetId="4" r:id="rId4"/>
    <sheet name="CAPEX CABELAB" sheetId="10" r:id="rId5"/>
    <sheet name="Hoja1" sheetId="11" r:id="rId6"/>
  </sheets>
  <definedNames>
    <definedName name="_xlnm._FilterDatabase" localSheetId="0" hidden="1">'CONTROL DE EQUIPOS CABELAB'!$A$2:$K$564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4" i="10" l="1"/>
  <c r="J25" i="10" s="1"/>
  <c r="J23" i="10"/>
  <c r="J22" i="10"/>
  <c r="I24" i="10"/>
  <c r="I23" i="10"/>
  <c r="I22" i="10"/>
  <c r="I25" i="10" l="1"/>
</calcChain>
</file>

<file path=xl/sharedStrings.xml><?xml version="1.0" encoding="utf-8"?>
<sst xmlns="http://schemas.openxmlformats.org/spreadsheetml/2006/main" count="5136" uniqueCount="2217">
  <si>
    <t>FR</t>
  </si>
  <si>
    <t>No DIAG</t>
  </si>
  <si>
    <t>CLIENTE</t>
  </si>
  <si>
    <t>FECHA DE INGRESO</t>
  </si>
  <si>
    <t>MARCA</t>
  </si>
  <si>
    <t>MODELO</t>
  </si>
  <si>
    <t>REPORTE DE CLIENTE</t>
  </si>
  <si>
    <t>ACCESORIOS</t>
  </si>
  <si>
    <t>ESTADO</t>
  </si>
  <si>
    <t>CONDICION</t>
  </si>
  <si>
    <t>PROINAM</t>
  </si>
  <si>
    <t>TWECO</t>
  </si>
  <si>
    <t>SPRAY MASTER</t>
  </si>
  <si>
    <t>--</t>
  </si>
  <si>
    <t xml:space="preserve">Servicio: revisión general </t>
  </si>
  <si>
    <t xml:space="preserve">Tobera, cuello de ganzo y difusor de aire </t>
  </si>
  <si>
    <t>DIAGNOSTICO</t>
  </si>
  <si>
    <t>Espera de atencion</t>
  </si>
  <si>
    <t>KAMPFER</t>
  </si>
  <si>
    <t>MILLER</t>
  </si>
  <si>
    <t>XMT 425</t>
  </si>
  <si>
    <t>MH344012U</t>
  </si>
  <si>
    <t>Servicio: Revisión General</t>
  </si>
  <si>
    <t>Cable y meneke rojo</t>
  </si>
  <si>
    <t>ALTEMEC SAC</t>
  </si>
  <si>
    <t>ESAB</t>
  </si>
  <si>
    <t>ET 202 IP</t>
  </si>
  <si>
    <t>Cable y meneque azul</t>
  </si>
  <si>
    <t>SAMUEL KANA</t>
  </si>
  <si>
    <t>CEMONT</t>
  </si>
  <si>
    <t>YARD SV443</t>
  </si>
  <si>
    <t>210-4604129</t>
  </si>
  <si>
    <t>Garantía de Servicio</t>
  </si>
  <si>
    <t>Cable (mal empalmado) y meneke prensa estopa rota</t>
  </si>
  <si>
    <t>ENTREGADO</t>
  </si>
  <si>
    <t>OPERATIVO</t>
  </si>
  <si>
    <t>841-2</t>
  </si>
  <si>
    <t>LUIS MAQUERA</t>
  </si>
  <si>
    <t>HOBART</t>
  </si>
  <si>
    <t>Hobart Tigwave 250
AC/DC</t>
  </si>
  <si>
    <t>Cable</t>
  </si>
  <si>
    <t>841-1</t>
  </si>
  <si>
    <t>KEMPPI</t>
  </si>
  <si>
    <t>Minarc Tig 180</t>
  </si>
  <si>
    <t>Cable y meneke azul</t>
  </si>
  <si>
    <t>840-2</t>
  </si>
  <si>
    <t>DCR Minería y Construcción SAC</t>
  </si>
  <si>
    <t>XMT 425 Vs</t>
  </si>
  <si>
    <t>MD170240U</t>
  </si>
  <si>
    <t xml:space="preserve">Cable y meneke </t>
  </si>
  <si>
    <t>PENDIENTE DE APROBACION</t>
  </si>
  <si>
    <t>Media posibilidad de aprobacion</t>
  </si>
  <si>
    <t>840-1</t>
  </si>
  <si>
    <t xml:space="preserve">SuitCase X-Treme 12Vs 
X-TREME 12VS </t>
  </si>
  <si>
    <t>MD490806U</t>
  </si>
  <si>
    <t xml:space="preserve">Servicio:
Hay un arco sin accionar el gatillo </t>
  </si>
  <si>
    <t>Alambre sólido de 1.2, 2 rodillos sólidos, 1 grapa a tierra, 1 antorcha (cuello de ganzo, difusor de gas y tobera), flujómetro con manguera.</t>
  </si>
  <si>
    <t>833-4</t>
  </si>
  <si>
    <t>SOLDEX SA</t>
  </si>
  <si>
    <t xml:space="preserve">Cable de potencia + cable de control </t>
  </si>
  <si>
    <t>833-3</t>
  </si>
  <si>
    <t>Conectores dinse aéreos hembra y macho</t>
  </si>
  <si>
    <t>833-2</t>
  </si>
  <si>
    <t>833-1</t>
  </si>
  <si>
    <t>M&amp;N AQP. Electromecanic</t>
  </si>
  <si>
    <t>ALIENWELD</t>
  </si>
  <si>
    <t>XM200</t>
  </si>
  <si>
    <t>80706-06A-220704660/
EN 60974-1.2012</t>
  </si>
  <si>
    <t>Servicio: revisión general</t>
  </si>
  <si>
    <t xml:space="preserve">Tapa desmontada, cable y meneque azul con blanco </t>
  </si>
  <si>
    <t xml:space="preserve"> </t>
  </si>
  <si>
    <t>MADECOR-AQP E.I.R.L.</t>
  </si>
  <si>
    <t>ROGUE EM 210</t>
  </si>
  <si>
    <t>HA40524110014</t>
  </si>
  <si>
    <t>Garantía Esab: No sale el alambre.</t>
  </si>
  <si>
    <t>Alambre, antorcha, pinza a tierra, cable y meneke azul.</t>
  </si>
  <si>
    <t>835-2</t>
  </si>
  <si>
    <t>ATRIOM SERVICIOS Y CONSTRUCCION E.I.R.L.</t>
  </si>
  <si>
    <t>XMT 304 CC/CV</t>
  </si>
  <si>
    <t>LC148369</t>
  </si>
  <si>
    <t xml:space="preserve">Garantía Cabelab:
Se bloquea </t>
  </si>
  <si>
    <t>cable y meneke rojo</t>
  </si>
  <si>
    <t>835-1</t>
  </si>
  <si>
    <t xml:space="preserve">LHN280i Plus        </t>
  </si>
  <si>
    <t>I19240565</t>
  </si>
  <si>
    <t>Servicio:
No regula amperaje</t>
  </si>
  <si>
    <t>cable y meneke azul</t>
  </si>
  <si>
    <t>MULTI-PROCESOS A&amp;E S.A.C.</t>
  </si>
  <si>
    <t>LINCOLN ELECTRIC</t>
  </si>
  <si>
    <t>VANTAGE 500</t>
  </si>
  <si>
    <t>U104090183</t>
  </si>
  <si>
    <t>Garantia de servicio</t>
  </si>
  <si>
    <t>PERU WELDING STORE</t>
  </si>
  <si>
    <t>LHN 242</t>
  </si>
  <si>
    <t>HA94624010090</t>
  </si>
  <si>
    <t>No enciende</t>
  </si>
  <si>
    <t>APROBADO</t>
  </si>
  <si>
    <t xml:space="preserve">SOLDEX SA </t>
  </si>
  <si>
    <t>ORIGOARC 3001</t>
  </si>
  <si>
    <t>HA93121040076</t>
  </si>
  <si>
    <t xml:space="preserve">DIAGNOSTICO </t>
  </si>
  <si>
    <t>NE</t>
  </si>
  <si>
    <t>832-2</t>
  </si>
  <si>
    <t>WARRIOR 350</t>
  </si>
  <si>
    <t>635-832-0266</t>
  </si>
  <si>
    <t xml:space="preserve">Sin grapa a tierra sin porta electrodo </t>
  </si>
  <si>
    <t>832-1</t>
  </si>
  <si>
    <t xml:space="preserve">WARRIOR 500i </t>
  </si>
  <si>
    <t>339-601-450</t>
  </si>
  <si>
    <t>sin tapa de anfenol</t>
  </si>
  <si>
    <t>832-4</t>
  </si>
  <si>
    <t>339-601-4253</t>
  </si>
  <si>
    <t xml:space="preserve">Sin tuerca en el meneque </t>
  </si>
  <si>
    <t>832-5</t>
  </si>
  <si>
    <t>WARRIOR 500i</t>
  </si>
  <si>
    <t>339-601-4247</t>
  </si>
  <si>
    <t>Sin perno 1 de meneque</t>
  </si>
  <si>
    <t>832-3</t>
  </si>
  <si>
    <t xml:space="preserve">WARRIOR 500i  </t>
  </si>
  <si>
    <t>339-602-4278</t>
  </si>
  <si>
    <t xml:space="preserve">Sin grapa a tierra, sin porta electrodo , sin meneque e enchufe </t>
  </si>
  <si>
    <t>ESERMIN SAC</t>
  </si>
  <si>
    <t xml:space="preserve">27/12/2024	</t>
  </si>
  <si>
    <t>XMT 425 VS</t>
  </si>
  <si>
    <t>MG524007U</t>
  </si>
  <si>
    <t>No Prende, salió humo y dejó de encender</t>
  </si>
  <si>
    <t>Meneke, Grapa a tierra, porta electrodo, tapa de perilla</t>
  </si>
  <si>
    <t>AID INGENIEROS</t>
  </si>
  <si>
    <t xml:space="preserve">26/12/2024	</t>
  </si>
  <si>
    <t>ROBUST FEED EURO</t>
  </si>
  <si>
    <t>OP22323320140</t>
  </si>
  <si>
    <t>Problemas de flujo de gas, no controla el alambre</t>
  </si>
  <si>
    <t>Antorcha con consumibles, grapa a tierra, rodillo 4 UND, Manguera de gas, cable potencia, seguro de carrete</t>
  </si>
  <si>
    <t>ZELIG INGENIEROS SAC (TIBURCIO)</t>
  </si>
  <si>
    <t>ROGUE ET 202iP</t>
  </si>
  <si>
    <t>HA02724230076</t>
  </si>
  <si>
    <t>No cambia de procesos</t>
  </si>
  <si>
    <t>MENEKE MONOFASICO</t>
  </si>
  <si>
    <t>OSCAR MORAN</t>
  </si>
  <si>
    <t>TK-MS250P</t>
  </si>
  <si>
    <t>Revisión</t>
  </si>
  <si>
    <t>Enchufe levinton</t>
  </si>
  <si>
    <t>BAJA</t>
  </si>
  <si>
    <t>SERVICIOS MINEROS SEBAS E.I.R.L.</t>
  </si>
  <si>
    <t xml:space="preserve">ESAB </t>
  </si>
  <si>
    <t>WARRIOR 500I CC/CV</t>
  </si>
  <si>
    <t>512-927-7173</t>
  </si>
  <si>
    <t>GARANTIA ESAB: Se estaba soldando con normalidad y de repente sonó como si algo reventase internamente</t>
  </si>
  <si>
    <t>FABRICACIONES INNOVA INDUSTRIA METAL MECANICA E.I.R.L</t>
  </si>
  <si>
    <t>LHN 202I</t>
  </si>
  <si>
    <t>HA02022310224</t>
  </si>
  <si>
    <t>GARANTIA ESAB</t>
  </si>
  <si>
    <t>GRUPO SARAVIA IMPORTACIONES EIRL</t>
  </si>
  <si>
    <t>BANTAM 3.2</t>
  </si>
  <si>
    <t>GC34923480174</t>
  </si>
  <si>
    <t>GARANTIA ESAB: No enciende el ventilador.</t>
  </si>
  <si>
    <t>821-5</t>
  </si>
  <si>
    <t>SERVICIOS GENERALES ARAGON</t>
  </si>
  <si>
    <t>ARCREACH SUITCASE 12</t>
  </si>
  <si>
    <t>MK303040U</t>
  </si>
  <si>
    <t>SERVICIO</t>
  </si>
  <si>
    <t>Sin grapa a tierra, conector de potencia, 2UND de rodillos</t>
  </si>
  <si>
    <t>821-4</t>
  </si>
  <si>
    <t>MK373009U</t>
  </si>
  <si>
    <t>Grapa a tierra, conector de potencia, sin rodillos</t>
  </si>
  <si>
    <t>821-3</t>
  </si>
  <si>
    <t>INVERTEC V350 PRO</t>
  </si>
  <si>
    <t>Meneke rojo, -1 perno</t>
  </si>
  <si>
    <t>821-2</t>
  </si>
  <si>
    <t>XMT 425 CC/CV</t>
  </si>
  <si>
    <t>MK244038U</t>
  </si>
  <si>
    <t>Meneke rojo, tapa de perilla.</t>
  </si>
  <si>
    <t>821-1</t>
  </si>
  <si>
    <t>MK244078U</t>
  </si>
  <si>
    <t>Meneke rojo, tapa de perilla rota, -1 perno</t>
  </si>
  <si>
    <t>METSO OUTOTEC PERÚ S.A.</t>
  </si>
  <si>
    <t>WARRIOR FEED 404 HD</t>
  </si>
  <si>
    <t>ZG51921370004 </t>
  </si>
  <si>
    <t>GARANTIA</t>
  </si>
  <si>
    <t>Conector de control, manguera, potencia, sin seguro de carrete, 2 rodillos</t>
  </si>
  <si>
    <t>PEDRISA SRL</t>
  </si>
  <si>
    <t>TRAIBLAZER 302</t>
  </si>
  <si>
    <t>MA410596H</t>
  </si>
  <si>
    <t>1 tuercas de ojal</t>
  </si>
  <si>
    <t>817-2</t>
  </si>
  <si>
    <t>METAL SUR FAMIN SRL</t>
  </si>
  <si>
    <t>MJ014026U</t>
  </si>
  <si>
    <t>Meneke, tapa de perillas</t>
  </si>
  <si>
    <t>817-1</t>
  </si>
  <si>
    <t>MH384010U</t>
  </si>
  <si>
    <t>JOSE ANTONIO QUISPE CARDENAS</t>
  </si>
  <si>
    <t>SUITCASE 12RC</t>
  </si>
  <si>
    <t>LG010158</t>
  </si>
  <si>
    <t>seguro de carrete</t>
  </si>
  <si>
    <t>573-1</t>
  </si>
  <si>
    <t>PRODISE SRL</t>
  </si>
  <si>
    <t>CLASSIC</t>
  </si>
  <si>
    <t>SN</t>
  </si>
  <si>
    <t>573-2</t>
  </si>
  <si>
    <t>573-3</t>
  </si>
  <si>
    <t>573-4</t>
  </si>
  <si>
    <t>SOLDAMUNDO</t>
  </si>
  <si>
    <t>MK244102U</t>
  </si>
  <si>
    <t>meneke rojo, tapa  de perilla, -13 pernos</t>
  </si>
  <si>
    <t>DEVOLUCION A SOLDAMUNDO</t>
  </si>
  <si>
    <t>RUSTLER 300I</t>
  </si>
  <si>
    <t>HA23023210008</t>
  </si>
  <si>
    <t>GARANTIA CABELAB: Solenoide dañado.</t>
  </si>
  <si>
    <t>manguera de gas, rodillo solido, meneke rojo</t>
  </si>
  <si>
    <t>Alta posibilidad de aprobacion</t>
  </si>
  <si>
    <t>CECILIO SALGADO MAMANI</t>
  </si>
  <si>
    <t>XMT 350 VS</t>
  </si>
  <si>
    <t>MA190272A</t>
  </si>
  <si>
    <t>Sin interruptor, sin 7 pernos</t>
  </si>
  <si>
    <t>FABRICATOR EM 500I</t>
  </si>
  <si>
    <t>MC01623280024</t>
  </si>
  <si>
    <t>Meneke rojo, sin tapa de amphenol</t>
  </si>
  <si>
    <t>CRUBHER SRL</t>
  </si>
  <si>
    <t>NISSAN</t>
  </si>
  <si>
    <t>MODULO ABS</t>
  </si>
  <si>
    <t>SERVICIO: En corto, se prendio luz de error en tablero ABS</t>
  </si>
  <si>
    <t>J&amp;C CONTRATISTAS Y SERVICIOS</t>
  </si>
  <si>
    <t>PROFAX</t>
  </si>
  <si>
    <t>MIG 400 AMP</t>
  </si>
  <si>
    <t>SERVICIO: NE</t>
  </si>
  <si>
    <t>Consumibles incompletos (Solo difusor), cable control gatillo</t>
  </si>
  <si>
    <t>JOSE ROMERO VALENCIA</t>
  </si>
  <si>
    <t>LHN 280I PLUS</t>
  </si>
  <si>
    <t>HA91921020537</t>
  </si>
  <si>
    <t>GARANTIA ESAB: NE</t>
  </si>
  <si>
    <t>ZG51921370004</t>
  </si>
  <si>
    <t> Conector de control, manguera, potencia, sin seguro de carrete</t>
  </si>
  <si>
    <t>TISHER</t>
  </si>
  <si>
    <t>DC 600</t>
  </si>
  <si>
    <t>SERVICIO: Implementacion de VRD</t>
  </si>
  <si>
    <t>Esp. de repuestos</t>
  </si>
  <si>
    <t>SERVICIO: Soldadura con porosidad.</t>
  </si>
  <si>
    <t>Consumibles, cable control gatillo</t>
  </si>
  <si>
    <t>HELIARC 403I AC/DC</t>
  </si>
  <si>
    <t>ES14922040010</t>
  </si>
  <si>
    <t>Meneke,Antorcha TIG con consumibles (sin cubierta de mango)</t>
  </si>
  <si>
    <t xml:space="preserve">Operativo </t>
  </si>
  <si>
    <t>THUNDERBOLT 210</t>
  </si>
  <si>
    <t>NB227571W</t>
  </si>
  <si>
    <t>Meneke, sin tapa de perilla</t>
  </si>
  <si>
    <t>SOLDAMUNDO IMPORTACIONES SAC</t>
  </si>
  <si>
    <t>LHN 240I PLUS</t>
  </si>
  <si>
    <t>I17495737</t>
  </si>
  <si>
    <t>SERVICIO: Cliente indica problemas con el display en el equipo. No regula el amperaje, no muestra los dígitos correctos. Presenta modificación en el cable de alimentación.</t>
  </si>
  <si>
    <t>Portaelectrodo, grapa a tierra, Bolsa</t>
  </si>
  <si>
    <t>LUISA ELENA APAZA</t>
  </si>
  <si>
    <t>HANDYPLASMA 45I</t>
  </si>
  <si>
    <t>KA2021000055</t>
  </si>
  <si>
    <t>SERVICIO: No realiza arco de corte</t>
  </si>
  <si>
    <t>Antorcha con consumibles, grapa a tierra</t>
  </si>
  <si>
    <t>MSA ENTERPRICE S.A.C.</t>
  </si>
  <si>
    <t>ROGUE EM210</t>
  </si>
  <si>
    <t>HA41524230470</t>
  </si>
  <si>
    <t>Meneke, antorcha con consumibles, rodillo, caja</t>
  </si>
  <si>
    <t>STEEL MANUFACTURING</t>
  </si>
  <si>
    <t>LHN 242i</t>
  </si>
  <si>
    <t>HA94621030439</t>
  </si>
  <si>
    <t>Meneke azul</t>
  </si>
  <si>
    <t>GEARTEC EIRL</t>
  </si>
  <si>
    <t>WELDBOY</t>
  </si>
  <si>
    <t>RX2050</t>
  </si>
  <si>
    <t>SERVICIO: No enciende</t>
  </si>
  <si>
    <t>Meneke</t>
  </si>
  <si>
    <t>675-4</t>
  </si>
  <si>
    <t>METAL SUR FAMIN</t>
  </si>
  <si>
    <t xml:space="preserve">RE: APROBACION </t>
  </si>
  <si>
    <t>PERÚ WELDING STORE</t>
  </si>
  <si>
    <t>SWARM A10</t>
  </si>
  <si>
    <t>SERVICIO: Realizar pruebas, presenta retardo al realizar arco</t>
  </si>
  <si>
    <t>794-1</t>
  </si>
  <si>
    <t>EPC INGENIERIA</t>
  </si>
  <si>
    <t>MILLER </t>
  </si>
  <si>
    <t>70 SERIES</t>
  </si>
  <si>
    <t>NB510056U</t>
  </si>
  <si>
    <t>SERVICIO: Revisión</t>
  </si>
  <si>
    <t>Carrito, antorcha con consumibles, cable control, conector aereo, 4 rodillos</t>
  </si>
  <si>
    <t>794-2</t>
  </si>
  <si>
    <t>MG420200U</t>
  </si>
  <si>
    <t>Cable control, conector aereo, 2 rodillos</t>
  </si>
  <si>
    <t>797-1</t>
  </si>
  <si>
    <t>KAMPFER SAC</t>
  </si>
  <si>
    <t>NB037318W</t>
  </si>
  <si>
    <t>797-2</t>
  </si>
  <si>
    <t>NA307001W</t>
  </si>
  <si>
    <t>SERVICIO: Reparacion</t>
  </si>
  <si>
    <t>797-3</t>
  </si>
  <si>
    <t>BOBCAT 250</t>
  </si>
  <si>
    <t>110762R</t>
  </si>
  <si>
    <t>SERVICIO: Le colocaron petróleo en vez de gasolina, no se prendio ya que usaron otro combustible</t>
  </si>
  <si>
    <t>2  acoples ojal-dince hembra</t>
  </si>
  <si>
    <t>M &amp;N AQP ELECTROMECANIC</t>
  </si>
  <si>
    <t>SERVICIO: REPARACION DE TARJETA</t>
  </si>
  <si>
    <t>DEVOLUCION</t>
  </si>
  <si>
    <t>795-1</t>
  </si>
  <si>
    <t>EPC INGENIERIA EN PROYECTOS</t>
  </si>
  <si>
    <t>ROBUST FEED AVS</t>
  </si>
  <si>
    <t>OP13922160001</t>
  </si>
  <si>
    <t>Grapa a tierra, 4 rodillos</t>
  </si>
  <si>
    <t>795-2</t>
  </si>
  <si>
    <t>SERVICIO: Fuga de gas por el pin roto.</t>
  </si>
  <si>
    <t>Sin consumibles</t>
  </si>
  <si>
    <t>EVALUACION EXTERNA</t>
  </si>
  <si>
    <t>CAMPO</t>
  </si>
  <si>
    <t>PROYECTOS DE INGENIERIA  Y SERVICIOS SCRL</t>
  </si>
  <si>
    <t>LAF 1001M</t>
  </si>
  <si>
    <t>536-027-4698</t>
  </si>
  <si>
    <t>Meneke rojo</t>
  </si>
  <si>
    <t>EN CAMPO</t>
  </si>
  <si>
    <t>791-1</t>
  </si>
  <si>
    <t> METAL BOARD SAC</t>
  </si>
  <si>
    <t>ESAB </t>
  </si>
  <si>
    <t>SWARM A20</t>
  </si>
  <si>
    <t>GARANTÍA ESAB: Parpadea</t>
  </si>
  <si>
    <t>Caja</t>
  </si>
  <si>
    <t>791-2</t>
  </si>
  <si>
    <t>A&amp;C BUSINESS CORPORATION </t>
  </si>
  <si>
    <t>ES 300i</t>
  </si>
  <si>
    <t>SERVICIO: El cliente indica que al equipo le ha caído excesiva agua, posterior a ello no volvieron a prenderlo.</t>
  </si>
  <si>
    <t>Meneke rojo, sin tapa de perilla</t>
  </si>
  <si>
    <t>MAUER COMPANY S.A.C.</t>
  </si>
  <si>
    <t>ROGUE ET 202IP</t>
  </si>
  <si>
    <t>SERVICIO: Antorcha con conector amphenol dañado</t>
  </si>
  <si>
    <t>Antorcha TIG, grapa a tierra, manguera de gas, portaelectrodo.</t>
  </si>
  <si>
    <t xml:space="preserve">SUITCASE X-TREME 12VS 
X-TREME 12VS </t>
  </si>
  <si>
    <t>MB260836A</t>
  </si>
  <si>
    <t>Traslado de equipo de SOLDAMUNDO a CABELAB</t>
  </si>
  <si>
    <t>Antorcha con consumibles, sin engranajes, sin rodillos, sin portacarrete ni seguro.</t>
  </si>
  <si>
    <t>OXISALUD</t>
  </si>
  <si>
    <t>ET202IP</t>
  </si>
  <si>
    <t>HA02721520419</t>
  </si>
  <si>
    <t>Menneke, antorcha TIG y grapa a tierra</t>
  </si>
  <si>
    <t>FABRICACIONES LEAL EIRL</t>
  </si>
  <si>
    <t>LHN 242I</t>
  </si>
  <si>
    <t>HA94622520699</t>
  </si>
  <si>
    <t>GARANTIA ESAB: </t>
  </si>
  <si>
    <t>Meneke azul.</t>
  </si>
  <si>
    <t>788-4</t>
  </si>
  <si>
    <t>AID INGENIEROS </t>
  </si>
  <si>
    <t>ROBUST FEED PRO</t>
  </si>
  <si>
    <t>916-928-0035</t>
  </si>
  <si>
    <t>Cable potencia, control, manguera de gas, rodillos de arrastre (4R), -2 tapas de perilla, seguro de carrete.</t>
  </si>
  <si>
    <t>788-3</t>
  </si>
  <si>
    <t>916-928-0038</t>
  </si>
  <si>
    <t>Cable potencia, control, manguera de gas, rodillos de arrastre (4R), -1 tapas de perilla, seguro de carrete.</t>
  </si>
  <si>
    <t>788-2</t>
  </si>
  <si>
    <t>916-928-0044</t>
  </si>
  <si>
    <t>Cable potencia, control, manguera de gas, rodillos de arrastre ( 2R, 2A), sin seguro de carrete, -2 tapas de perilla</t>
  </si>
  <si>
    <t>788-1</t>
  </si>
  <si>
    <t>916-923-0039</t>
  </si>
  <si>
    <t>Cable potencia, control, manguera de gas, sin seguro de carrete, -2 tapas de perilla, sin rodillos</t>
  </si>
  <si>
    <t>787-5</t>
  </si>
  <si>
    <t>512-922-7124</t>
  </si>
  <si>
    <t>Meneke negro, Tapa amphenol, -2 tapas de perilla.</t>
  </si>
  <si>
    <t>787-4</t>
  </si>
  <si>
    <t>WARRIOR 350I CC/CV</t>
  </si>
  <si>
    <t>635-736-0061</t>
  </si>
  <si>
    <t>SERVICIO: No hace contacto negativo</t>
  </si>
  <si>
    <t>Meneke negro, Sin tapa amphenol.</t>
  </si>
  <si>
    <t>787-3</t>
  </si>
  <si>
    <t>512-922-7125</t>
  </si>
  <si>
    <t>787-2</t>
  </si>
  <si>
    <t>512-921-7120</t>
  </si>
  <si>
    <t>Meneke negro, Tapa amphenol, -2 tapas de perilla, sin selector de procesos</t>
  </si>
  <si>
    <t>787-1</t>
  </si>
  <si>
    <t>512-922-7126</t>
  </si>
  <si>
    <t>SERVICIO: Prende pero se apaga al momento.</t>
  </si>
  <si>
    <t>Meneke negro, Tapa amphenol</t>
  </si>
  <si>
    <t>IMC SERVICIOS SAC</t>
  </si>
  <si>
    <t>XMT 350 CC/CV</t>
  </si>
  <si>
    <t>LH380889A</t>
  </si>
  <si>
    <t>SERVICIO: El equipo no controla el arco, sube y baja el amperaje cuando se está soldando.</t>
  </si>
  <si>
    <t>meneke rojo, tapa de perillas.</t>
  </si>
  <si>
    <t>M &amp; N AQP ELECTROMECANIC E.I.R.L.</t>
  </si>
  <si>
    <t>HOUGEN</t>
  </si>
  <si>
    <t>HMD914</t>
  </si>
  <si>
    <t>GARANTÍA CABELAB: No funciona correctamente, el equipo no se puede dar de baja, si no es posible la reparación realizar puenteado en el sistema electrónico para que funcione mecánicamente.  </t>
  </si>
  <si>
    <t>783-1</t>
  </si>
  <si>
    <t>HA91921250184</t>
  </si>
  <si>
    <t>GARANTIA ESAB: Conectores quemados</t>
  </si>
  <si>
    <t>Meneke azul, -3 pernos</t>
  </si>
  <si>
    <t>783-2</t>
  </si>
  <si>
    <t>C</t>
  </si>
  <si>
    <t>FABRICATOR ES410iC</t>
  </si>
  <si>
    <t>ZG14424090051</t>
  </si>
  <si>
    <t>GARANTIA ESAB: Condensador quemado</t>
  </si>
  <si>
    <t>BETY MACHACA QUISPE</t>
  </si>
  <si>
    <t>JUAN CHOQUEHUANCA</t>
  </si>
  <si>
    <t>WELDECK</t>
  </si>
  <si>
    <t>MIG 250</t>
  </si>
  <si>
    <t>SERVICIO </t>
  </si>
  <si>
    <t>SV 333</t>
  </si>
  <si>
    <t>212-4709712</t>
  </si>
  <si>
    <t>SERVICIO: Barra interna de conexión fundida.</t>
  </si>
  <si>
    <t>Grapa a tierra, portaelectrodo, meneke</t>
  </si>
  <si>
    <t>TELWIN</t>
  </si>
  <si>
    <t>TECHNOMIG 225 DUAL</t>
  </si>
  <si>
    <t>GARANTÍA CABELAB: El equipo no enciende</t>
  </si>
  <si>
    <t>manguera de gas, meneke azul, rodillo,garpa a tierra, sin seguro de carrete.</t>
  </si>
  <si>
    <t>MAUR COMPANY SAC</t>
  </si>
  <si>
    <t>HA02721180102</t>
  </si>
  <si>
    <t>GARANTIA ESAB: Display dañado, no cambia de procesos</t>
  </si>
  <si>
    <t>Antorcha TIG, grapa a tierra, porta electrodo y manguera de gas</t>
  </si>
  <si>
    <t>SERVICIO: Mantenimiento</t>
  </si>
  <si>
    <t>MARCO ARCE QUINTO</t>
  </si>
  <si>
    <t>GENESIS</t>
  </si>
  <si>
    <t>TIG 200 FORCE</t>
  </si>
  <si>
    <t>SERVICIO: Pérdida de potencia.</t>
  </si>
  <si>
    <t>Enchufe</t>
  </si>
  <si>
    <t>776-1</t>
  </si>
  <si>
    <t>WARRIOR 350 CC/CV</t>
  </si>
  <si>
    <t>635-838-0303</t>
  </si>
  <si>
    <t>SERVICIO: Se apaga automáticamente, el equipo se protege, revisión general.</t>
  </si>
  <si>
    <t>776-2</t>
  </si>
  <si>
    <t>WARRIOR 500 CC/CV</t>
  </si>
  <si>
    <t>512-951-7499</t>
  </si>
  <si>
    <t>SERVICIO: Falta tapa del receptáculo,   revisión general.</t>
  </si>
  <si>
    <t>775-1</t>
  </si>
  <si>
    <t>XMT 350 FIELDPRO</t>
  </si>
  <si>
    <t>NB464019U</t>
  </si>
  <si>
    <t>SERVICIO: Falta activar VRD, revisión general</t>
  </si>
  <si>
    <t>775-2</t>
  </si>
  <si>
    <t>MH144152U</t>
  </si>
  <si>
    <t>SERVICIO: Conectores dinses observados, revisión general</t>
  </si>
  <si>
    <t>775-3</t>
  </si>
  <si>
    <t>MH154056U</t>
  </si>
  <si>
    <t>SERVICIO: Pantalla display dañado, ventilador en corto, revisión general</t>
  </si>
  <si>
    <t>Meneke, tapa de perillas, perneria incompleta ( falta 2 pernos en lado lateral).</t>
  </si>
  <si>
    <t>775-4</t>
  </si>
  <si>
    <t>ND264211U</t>
  </si>
  <si>
    <t>SERVICIO: Falta activar VRD, HELP 3 ventilador observado, revisión general.</t>
  </si>
  <si>
    <t>Meneke, tapa de perillas, tapa de amphenol.</t>
  </si>
  <si>
    <t>774-1</t>
  </si>
  <si>
    <t>SIN INFORME</t>
  </si>
  <si>
    <t>ALT-MAQ.SOLDAR-06</t>
  </si>
  <si>
    <t>Meneke, perneria incompleta</t>
  </si>
  <si>
    <t>774-2</t>
  </si>
  <si>
    <t>NB227451W</t>
  </si>
  <si>
    <t>GARANTÍA SERVICIO CABELAB: NE</t>
  </si>
  <si>
    <t>TECWELD INGENIEROS SAC</t>
  </si>
  <si>
    <t>ES300i</t>
  </si>
  <si>
    <t>CÓDIGO: MQSOLD-TWC-002</t>
  </si>
  <si>
    <t>SERVICIO: El cliente abrió el equipo, tarjeta interna quemada</t>
  </si>
  <si>
    <t>MELITON CONDO HALLASI</t>
  </si>
  <si>
    <t>LHN 220I PLUS</t>
  </si>
  <si>
    <t>GARANTÍA SERVICIO CABELAB: No suelda.El equipo tiene ingresos anteriores (FR- 757)</t>
  </si>
  <si>
    <t>MARCOS CHIRINOS</t>
  </si>
  <si>
    <t>HANDY ARC 162I</t>
  </si>
  <si>
    <t>HA02421190241</t>
  </si>
  <si>
    <t>GARANTÍA ESAB: El equipo enciende pero no suelda.</t>
  </si>
  <si>
    <t>Porta electrodo, grapa a tierra, leviton</t>
  </si>
  <si>
    <t>RONALD ANCCO</t>
  </si>
  <si>
    <t>KA1933000011</t>
  </si>
  <si>
    <t>GARANTIA ESAB: Se brindó la información con presencia del área técnica, así mismo se envió un video de evidencia.</t>
  </si>
  <si>
    <t>Antorcha con consumibles, grapa a tierra, enchufe</t>
  </si>
  <si>
    <t>675-2</t>
  </si>
  <si>
    <t>MB100385A</t>
  </si>
  <si>
    <t>675-1</t>
  </si>
  <si>
    <t>MF264079U.</t>
  </si>
  <si>
    <t>Suitcase ARCREACH</t>
  </si>
  <si>
    <t>NB243003U.</t>
  </si>
  <si>
    <t>MARCO ARCE</t>
  </si>
  <si>
    <t>HA41524210002</t>
  </si>
  <si>
    <t>Levinton, rodillo de arrastre, caja</t>
  </si>
  <si>
    <t>CEMONT </t>
  </si>
  <si>
    <t>YARD SV 333</t>
  </si>
  <si>
    <t>210-4596791</t>
  </si>
  <si>
    <t>SERVICIO: El equipo no enciende.</t>
  </si>
  <si>
    <t>Meneke aereo hembra monofásico, meneke rojo trifásico</t>
  </si>
  <si>
    <t>ALIMENTOS BALANCEADOS DEL PERU SAC</t>
  </si>
  <si>
    <t>DANFOSS</t>
  </si>
  <si>
    <t>VARIADOR 25HP</t>
  </si>
  <si>
    <t>377702A428</t>
  </si>
  <si>
    <t>SERVICIO: No enciende, el cliente indica que destapó el equipo y encontró un desoldado. Indicó que no se borre la programación interna del variador</t>
  </si>
  <si>
    <t>SOLANDINAS</t>
  </si>
  <si>
    <t>TRC-300AC/DC</t>
  </si>
  <si>
    <t>249110-12074</t>
  </si>
  <si>
    <t>SERVICIO: Solo se enciende si se da un golpe en la máquina.</t>
  </si>
  <si>
    <t>Grapa a tierra, portaelectrodo y pernos terminal</t>
  </si>
  <si>
    <t>SAMUEL  KANA</t>
  </si>
  <si>
    <t>YARC SV 443</t>
  </si>
  <si>
    <t>SERVICIO: Interruptor dañado</t>
  </si>
  <si>
    <t>Meneke azul, perneria incompleta.</t>
  </si>
  <si>
    <t>CORPORACION RICO SAC</t>
  </si>
  <si>
    <t>HYUNDAI</t>
  </si>
  <si>
    <t>MMA-200P</t>
  </si>
  <si>
    <t>SERVICIO: Mantenimiento preventivo</t>
  </si>
  <si>
    <t>Grapa a tierra, portaelectrodo.</t>
  </si>
  <si>
    <t>MERCEDES LLANOS (VICTOR SANCCA)</t>
  </si>
  <si>
    <t>TARJETA DE CONTROL XMT 425 VS</t>
  </si>
  <si>
    <t>TARJETA</t>
  </si>
  <si>
    <t>762-1</t>
  </si>
  <si>
    <t>JEMA WELDING CONSTRUCCIONES METALICAS</t>
  </si>
  <si>
    <t>I20121058</t>
  </si>
  <si>
    <t>Meneke azul, cubierta. </t>
  </si>
  <si>
    <t>762-2</t>
  </si>
  <si>
    <t>HA02021450196</t>
  </si>
  <si>
    <t>Meneke azul, correa</t>
  </si>
  <si>
    <t>761-1</t>
  </si>
  <si>
    <t>DCR MINERIA Y CONSTRUCCION S.A.C.</t>
  </si>
  <si>
    <t>RX-520</t>
  </si>
  <si>
    <t>M1070850015</t>
  </si>
  <si>
    <t>Meneke rojo, grapa  a tierra, portaelectrodo, tornillos de agarre, perneria incompleta. </t>
  </si>
  <si>
    <t>761-2</t>
  </si>
  <si>
    <t>M1080650013</t>
  </si>
  <si>
    <t>Cubierta roja de interruptor, meneke rojo, tornillos de agarre, -1 perno</t>
  </si>
  <si>
    <t>MK434263U</t>
  </si>
  <si>
    <t>Meneke rojo, tapa de perillas</t>
  </si>
  <si>
    <t>ALTEMEC S.A.C.</t>
  </si>
  <si>
    <t>CST 280</t>
  </si>
  <si>
    <t>Meneke rojo, tapa amphenol</t>
  </si>
  <si>
    <t>758-2</t>
  </si>
  <si>
    <t>CORPORACION RICO S.A.C. </t>
  </si>
  <si>
    <t>ARCWELD</t>
  </si>
  <si>
    <t>200i-S INVERTER DC</t>
  </si>
  <si>
    <t>C. ALTERNATIVO: CP23837 </t>
  </si>
  <si>
    <t>SERVICIO: Solo indica que esta inoperativo</t>
  </si>
  <si>
    <t>Meneke </t>
  </si>
  <si>
    <t>758-1</t>
  </si>
  <si>
    <t>C.ALTERNATIVO: CP31237 </t>
  </si>
  <si>
    <t>Meneke roto</t>
  </si>
  <si>
    <t>GARANTÍA SERVICIO CABELAB : Al encender la máquina tiene sonido de un corto interno, así mismo no suelda.</t>
  </si>
  <si>
    <t>638-1</t>
  </si>
  <si>
    <t>MANTSERV SAC</t>
  </si>
  <si>
    <t>INVERTEC V350PRO</t>
  </si>
  <si>
    <t>U1080305303</t>
  </si>
  <si>
    <t>684-1 </t>
  </si>
  <si>
    <t>MULTIPROCESOS A&amp;E SAC</t>
  </si>
  <si>
    <t>MINARC-150</t>
  </si>
  <si>
    <t>SERVICIO: No fue culminado el diagnóstico ya que no se contaba anteriormente con los componentes necesarios.</t>
  </si>
  <si>
    <t>meneke </t>
  </si>
  <si>
    <t>756-2</t>
  </si>
  <si>
    <t>KAMPFER S.A.C.</t>
  </si>
  <si>
    <t>MAXSTAR 210</t>
  </si>
  <si>
    <t>MH490112L</t>
  </si>
  <si>
    <t>GARANTIA SERVICIO CABELAB</t>
  </si>
  <si>
    <t>Meneke rojo, correa</t>
  </si>
  <si>
    <t xml:space="preserve">756-1 </t>
  </si>
  <si>
    <t>MG034202U</t>
  </si>
  <si>
    <t>SERVICIO: No suelda</t>
  </si>
  <si>
    <t>Grapa a tierra, porta electrodo, meneke rojo, -1 perno, sin tapa de perillas.</t>
  </si>
  <si>
    <t>CONSORCIO JM SAC</t>
  </si>
  <si>
    <t>REBEL EMP 320</t>
  </si>
  <si>
    <t>CA73022110108</t>
  </si>
  <si>
    <t>GARANTIA ESAB: Aparentemente operativo</t>
  </si>
  <si>
    <t>Rodillos 2UND, meneke rojo</t>
  </si>
  <si>
    <t>PRODISE INGENIERIA &amp; SERVICIOS</t>
  </si>
  <si>
    <t>OP13922020138</t>
  </si>
  <si>
    <t>Sin cables, sin rodillos.</t>
  </si>
  <si>
    <t>GASES INDUSTRIALES AQP SCR</t>
  </si>
  <si>
    <t>Antorcha 24 KD TBI</t>
  </si>
  <si>
    <t>GARANTÍA ESAB</t>
  </si>
  <si>
    <t>Consumibles completos </t>
  </si>
  <si>
    <t>XYLEM WATER SOLUTIONS PERU SA</t>
  </si>
  <si>
    <t>LHN 242I </t>
  </si>
  <si>
    <t>HA94622520730</t>
  </si>
  <si>
    <t>GARANTIA ESAB: No enciende.</t>
  </si>
  <si>
    <t>Prensaestopa incompleta</t>
  </si>
  <si>
    <t>ALTEMEC</t>
  </si>
  <si>
    <t xml:space="preserve">MILLER </t>
  </si>
  <si>
    <t>LJ180520G</t>
  </si>
  <si>
    <t xml:space="preserve">Menneke </t>
  </si>
  <si>
    <t>SENATI </t>
  </si>
  <si>
    <t>WARRIOR FEED 304W</t>
  </si>
  <si>
    <t>GARANTIA ESAB: Tornillo de presión.</t>
  </si>
  <si>
    <t>Rodillos x4</t>
  </si>
  <si>
    <t>PRODISE INGENIERIA &amp; SERVICIOS </t>
  </si>
  <si>
    <t>ROBUST FEED</t>
  </si>
  <si>
    <t>OP13922020139</t>
  </si>
  <si>
    <t>No acciona gatillo continuamente, deja de soldar  por momentos y al mover el cable de potencia se soluciona</t>
  </si>
  <si>
    <t>Consumibles</t>
  </si>
  <si>
    <t>YARD SV333</t>
  </si>
  <si>
    <t>JULIO VILLAVICENCIA FERNANDEZ </t>
  </si>
  <si>
    <t>CUTMASTER 40</t>
  </si>
  <si>
    <t>007 128 0065</t>
  </si>
  <si>
    <t>GARANTÍA ESAB: ERROR E02</t>
  </si>
  <si>
    <t>Meneke azul, antorcha con consumibles y grapa a tierra</t>
  </si>
  <si>
    <t>SOLDEXA</t>
  </si>
  <si>
    <t>ARC FORCE</t>
  </si>
  <si>
    <t>SERVICIO: El cliente indica que el horno no llega a la temperatura deseada, debería llegar a 300° pero solo llega a 100°. </t>
  </si>
  <si>
    <t>CABELAB</t>
  </si>
  <si>
    <t xml:space="preserve">CABELAB </t>
  </si>
  <si>
    <t>NB194060U</t>
  </si>
  <si>
    <t>Pruebas de operatividad.</t>
  </si>
  <si>
    <t>VICTOR RAUL IBARRA COAQUIRA</t>
  </si>
  <si>
    <t>LF- 72</t>
  </si>
  <si>
    <t>U1100300445</t>
  </si>
  <si>
    <t>Antorcha con consumibles, rodillos de arrastre, un seguro de rodillo extra, cable potencia con conector, cable control.</t>
  </si>
  <si>
    <t>SD</t>
  </si>
  <si>
    <t>Tarjeta de Control PC1 (Modelo CC/CV)</t>
  </si>
  <si>
    <t>pruebas de operatividad.</t>
  </si>
  <si>
    <t>Sr. MELITON CONDO</t>
  </si>
  <si>
    <t>LHN220I PLUS</t>
  </si>
  <si>
    <t>NE.</t>
  </si>
  <si>
    <t>ENCHUFE LEVITON</t>
  </si>
  <si>
    <t>706-3</t>
  </si>
  <si>
    <t xml:space="preserve">Revision </t>
  </si>
  <si>
    <t>Grapa a tierra, enchufe monofasico</t>
  </si>
  <si>
    <t>706-1</t>
  </si>
  <si>
    <t>LHN 240i PLUS</t>
  </si>
  <si>
    <t>I17211095</t>
  </si>
  <si>
    <t xml:space="preserve">Revisión </t>
  </si>
  <si>
    <t xml:space="preserve">Menneke monofasico </t>
  </si>
  <si>
    <t>HP-300</t>
  </si>
  <si>
    <t>ALT-MAQ-SOLDAR-19</t>
  </si>
  <si>
    <t>Menneke Rojo</t>
  </si>
  <si>
    <t>706-2</t>
  </si>
  <si>
    <t>I18180279/ ALT-MAQ-01</t>
  </si>
  <si>
    <t>Menneke azul</t>
  </si>
  <si>
    <t> 743</t>
  </si>
  <si>
    <t>EMPRESA DE TRANSPORTES D&amp;A MENDOZA</t>
  </si>
  <si>
    <t>MERCEDEZ BENZ</t>
  </si>
  <si>
    <t>ZGS 001 (ATEGO 1725)</t>
  </si>
  <si>
    <t>Cubierta Metálica, pernos completos x10</t>
  </si>
  <si>
    <t xml:space="preserve">Campo </t>
  </si>
  <si>
    <t xml:space="preserve">LHN 242i </t>
  </si>
  <si>
    <t>HA94621150210</t>
  </si>
  <si>
    <t xml:space="preserve">Falla en tensión. </t>
  </si>
  <si>
    <t>Cubierta Metalica, meneke</t>
  </si>
  <si>
    <t xml:space="preserve">DEVOLUCION </t>
  </si>
  <si>
    <t>KAMPFER SAC</t>
  </si>
  <si>
    <t>GARANTIA CABELAB:  falla al soldar</t>
  </si>
  <si>
    <t>FRAN Y DON ASOCIADOS EIRL</t>
  </si>
  <si>
    <t xml:space="preserve">LHN 202i </t>
  </si>
  <si>
    <t>HA02023020560</t>
  </si>
  <si>
    <t>739-4</t>
  </si>
  <si>
    <t>SERVICIOS GENERALES ARAGON S.A.C.</t>
  </si>
  <si>
    <t>MK364130U</t>
  </si>
  <si>
    <t>Terminal en mal estado</t>
  </si>
  <si>
    <t>739-3</t>
  </si>
  <si>
    <t xml:space="preserve">XMT 350 VS </t>
  </si>
  <si>
    <t>MB450732A</t>
  </si>
  <si>
    <t xml:space="preserve">Interruptor y terminal en mal estado </t>
  </si>
  <si>
    <t>739-2</t>
  </si>
  <si>
    <t>DAF</t>
  </si>
  <si>
    <t>GMF 250 ARC</t>
  </si>
  <si>
    <t>Terminal, breaker</t>
  </si>
  <si>
    <t>Menneke</t>
  </si>
  <si>
    <t>739-1</t>
  </si>
  <si>
    <t>GMF 200 ARC</t>
  </si>
  <si>
    <t>60974-1</t>
  </si>
  <si>
    <t xml:space="preserve">GASES INDUSTRIALES AQP </t>
  </si>
  <si>
    <t>RUSTLER 215i</t>
  </si>
  <si>
    <t>GC22223060053</t>
  </si>
  <si>
    <t xml:space="preserve">Garantia ESAB </t>
  </si>
  <si>
    <t xml:space="preserve">Menneke, rodillos x2, manguera de gas con abrazaderas </t>
  </si>
  <si>
    <t>ACN INGENIERIA Y CONSTRUCCION EIRL</t>
  </si>
  <si>
    <t>HANDYARC 162i</t>
  </si>
  <si>
    <t>HA02521270128</t>
  </si>
  <si>
    <t>NO ENCIENDE</t>
  </si>
  <si>
    <t>Levinton, grapa a tierra y portaelectrodo</t>
  </si>
  <si>
    <t>BERRIOS QUECARA CELESTINA CELIA</t>
  </si>
  <si>
    <t>CUTMASTER 80</t>
  </si>
  <si>
    <t>MX2116068744</t>
  </si>
  <si>
    <t>SE BLOQUEA</t>
  </si>
  <si>
    <t>Meneke azul, grapa a tierra, antorcha con consumibles. </t>
  </si>
  <si>
    <t>ESPERA</t>
  </si>
  <si>
    <t>OXISALUD SUR EIRL</t>
  </si>
  <si>
    <t>Tiene una mancha en el lente no permite visualizar correctamente.</t>
  </si>
  <si>
    <t>TERCHNO MIG 225 DUAL</t>
  </si>
  <si>
    <t>Falla interna(tarjetas)</t>
  </si>
  <si>
    <t>flujometro, manguera de gas, meneke azul, rodillo,antorcha con consumibles</t>
  </si>
  <si>
    <t>ELARD FLORES</t>
  </si>
  <si>
    <t xml:space="preserve">NE. </t>
  </si>
  <si>
    <t>PERU WELDING STORE EIRL</t>
  </si>
  <si>
    <t>THERMAL DINAMICS</t>
  </si>
  <si>
    <t>MX2136073910</t>
  </si>
  <si>
    <t>Garantia Esab</t>
  </si>
  <si>
    <t>Meneker rojo</t>
  </si>
  <si>
    <t>733-2</t>
  </si>
  <si>
    <t>H&amp;R SERVICIOS E INGENIERIA SAC</t>
  </si>
  <si>
    <t>512-002-7578</t>
  </si>
  <si>
    <t>Meneke rojo y sin pernos de cubierta</t>
  </si>
  <si>
    <t>733-1</t>
  </si>
  <si>
    <t>635-005-0534</t>
  </si>
  <si>
    <t>Meneke rojo, se encontraron desmontados en su interior 2 reguladores con sus perillas. Sin interruptor y sin pernos de cubierta.</t>
  </si>
  <si>
    <t>633-3</t>
  </si>
  <si>
    <t>PROMETSUR</t>
  </si>
  <si>
    <t>635-816-0162</t>
  </si>
  <si>
    <t>REVISAR FR EN FISICO (Antes de entregar)</t>
  </si>
  <si>
    <t>JOSE A. CARDENAS</t>
  </si>
  <si>
    <t xml:space="preserve">XMT 350 VS	</t>
  </si>
  <si>
    <t>MB42345A</t>
  </si>
  <si>
    <t>EL EQUIPO ENCIENDE CON 380VAC, SIN EMBARGO, SE CONECTO EN 220 VAC 1Ph NO ENCIENDE</t>
  </si>
  <si>
    <t>MENEKE ROJO</t>
  </si>
  <si>
    <t>RICO POLLO</t>
  </si>
  <si>
    <t>CAMION (PLACAMAR)</t>
  </si>
  <si>
    <t>FURGON CLIMATIZADO POLLO BB (PCM50)</t>
  </si>
  <si>
    <t>ERROR 10-PC0</t>
  </si>
  <si>
    <t xml:space="preserve">IAMFA	</t>
  </si>
  <si>
    <t xml:space="preserve">LHN 202I PLUS	</t>
  </si>
  <si>
    <t>HA02021410022</t>
  </si>
  <si>
    <t>MENEKE(ROTO), GRAPA A TIERRA</t>
  </si>
  <si>
    <t>GINA CASTRO</t>
  </si>
  <si>
    <t>HANDY ARC 162</t>
  </si>
  <si>
    <t>HA02423250044</t>
  </si>
  <si>
    <t>NO FUNCIONA EL VENTILADOR, GARANTIA</t>
  </si>
  <si>
    <t>CABLE ENCHUFE</t>
  </si>
  <si>
    <t>MANTENIMIENTO DE EQUIPO</t>
  </si>
  <si>
    <t>MENEKE ROJO, CORREA</t>
  </si>
  <si>
    <t>LHN 280 I</t>
  </si>
  <si>
    <t>HA91923360171</t>
  </si>
  <si>
    <t>GARANTIA, RUIDO EN EL VENTILADOR</t>
  </si>
  <si>
    <t>CABLE, MENEKE</t>
  </si>
  <si>
    <t>ARCWELD 200 I INVERTER DC</t>
  </si>
  <si>
    <t>LEVINTON,CORREA</t>
  </si>
  <si>
    <t>SERGEAR</t>
  </si>
  <si>
    <t>MK234064U</t>
  </si>
  <si>
    <t>GARANTIA DE SERVICIO CABELAB</t>
  </si>
  <si>
    <t>TAPA DE PERILLA ROTA, MENEKE ROJO</t>
  </si>
  <si>
    <t xml:space="preserve">JULIO CESAR </t>
  </si>
  <si>
    <t>HA02721040366</t>
  </si>
  <si>
    <t>PRESENTA MUCHA SALPICADURA, QUEMA MATERIAL Y CONSUME TUNGSTENO RAPIDO</t>
  </si>
  <si>
    <t>ANTORCHA CON CONSUMIBLES, GRAPA A TIERRA, REGULADOR DE GAS, MANGUERA, ENCHUFE AZUL, CAJA X2</t>
  </si>
  <si>
    <t>725-1</t>
  </si>
  <si>
    <t>MD040433U</t>
  </si>
  <si>
    <t>ROBERT AGUEDO MURILLO</t>
  </si>
  <si>
    <t>ANTORCHA TIG</t>
  </si>
  <si>
    <t>CONECTOR AMPHENOL ROTO, REGULADOR DAÑADO</t>
  </si>
  <si>
    <t>CONSUMIBLES COMPLETOS</t>
  </si>
  <si>
    <t xml:space="preserve">  METAL SOLUTION CONTRATISTAS GENERALES SRL</t>
  </si>
  <si>
    <t>LHN240I PLUS</t>
  </si>
  <si>
    <t>I18262497</t>
  </si>
  <si>
    <t>VENTILADOR MALOGRADO</t>
  </si>
  <si>
    <t>MENEKE AZUL, TAPAS ROTAS</t>
  </si>
  <si>
    <t>SWARM A-10</t>
  </si>
  <si>
    <t>PARPADEA EN LAS TARDE, EN LAS MAÑANAS TRABAJA NORMAL</t>
  </si>
  <si>
    <t>CARETA DE SOLDAR</t>
  </si>
  <si>
    <t>718-1</t>
  </si>
  <si>
    <t>ALTEMEC S.A.C</t>
  </si>
  <si>
    <t>RUSTLER EM 300i</t>
  </si>
  <si>
    <t>NO FUNDE</t>
  </si>
  <si>
    <t>ANTORCHA, CONSUMIBLES, MANGUERA DE GAS, ABRAZADERA, RODILLO SOLIDO, MENEKE ROJO</t>
  </si>
  <si>
    <t>716-2</t>
  </si>
  <si>
    <t>CONCORCIO JM S.A.C</t>
  </si>
  <si>
    <t>DYNASTY  300DX</t>
  </si>
  <si>
    <t>LG030155L</t>
  </si>
  <si>
    <t>PRESENTA HELP-6, CONEXIÓN RODADA DE GAS</t>
  </si>
  <si>
    <t>ANTORCHA TIG CON CONSUMIBLES</t>
  </si>
  <si>
    <t xml:space="preserve">EPC INGENERIA </t>
  </si>
  <si>
    <t>LN-25</t>
  </si>
  <si>
    <t>CZ-022, CZ-06</t>
  </si>
  <si>
    <t>718-2</t>
  </si>
  <si>
    <t>WELDWELL</t>
  </si>
  <si>
    <t>ARC 250 IGTB</t>
  </si>
  <si>
    <t>REVISION YA QUE EL EQUIPO SE CAYO</t>
  </si>
  <si>
    <t>MENEKE AZUL, TAPAS FRONTAL Y POSTERIOR ROTAS</t>
  </si>
  <si>
    <t>IMC SERVICIOS S.A.C</t>
  </si>
  <si>
    <t>FABRICATOR ES 410IC</t>
  </si>
  <si>
    <t>ZG14422040002</t>
  </si>
  <si>
    <t>NO SUELDA</t>
  </si>
  <si>
    <t>EPC INGENERIA EN PROYECTOS SAC</t>
  </si>
  <si>
    <t>OP13922160008</t>
  </si>
  <si>
    <t>DISTRIBUIDOR JEAMPIERS</t>
  </si>
  <si>
    <t>ROQUE ET 202iP</t>
  </si>
  <si>
    <t>HA02721180081</t>
  </si>
  <si>
    <t>GARANTIA, TARJETA PANEL CON FALLA</t>
  </si>
  <si>
    <t>ANTORCHA TIG, CONSUMIBLES,MANGUERA DE GAS, CORREA, CAJA</t>
  </si>
  <si>
    <t>716-1</t>
  </si>
  <si>
    <t>CONCORCIO JM SAC</t>
  </si>
  <si>
    <t>LHN242i</t>
  </si>
  <si>
    <t>ENCODER DAÑADO, TIENE MUCHA POTENCIA AL HACER ARCO</t>
  </si>
  <si>
    <t>MENEKE MONOFASICO, GRAPA A TIERRA, PORTA ELECTRODO, CUBIERTA METALICA</t>
  </si>
  <si>
    <t>JOSE EDGAR ROMERO VALENCIA</t>
  </si>
  <si>
    <t>HA94623211096</t>
  </si>
  <si>
    <t>Devolucion</t>
  </si>
  <si>
    <t>VALMET SAC</t>
  </si>
  <si>
    <t>TAMAGAWA</t>
  </si>
  <si>
    <t>TRANSFORMADOR ROTATIVO</t>
  </si>
  <si>
    <t>TS2640N319E51</t>
  </si>
  <si>
    <t>REVISION DE PULSOS DE SALIDA</t>
  </si>
  <si>
    <t>NA</t>
  </si>
  <si>
    <t>IST LA RECOLETA</t>
  </si>
  <si>
    <t>AIR LIQUIDE</t>
  </si>
  <si>
    <t xml:space="preserve">MIG 12 </t>
  </si>
  <si>
    <t>MTR1732754</t>
  </si>
  <si>
    <t>SOCIEDAD MINERA CERRO VERDE</t>
  </si>
  <si>
    <t>SHARK 4000 - FUENTE PLASMA M2 200i</t>
  </si>
  <si>
    <t>NS: 2203909, NS: MX2144076094</t>
  </si>
  <si>
    <t>INSPECCION DE MESA DE CORTE</t>
  </si>
  <si>
    <t>SERVIMEC INDUSTRIAL SAC</t>
  </si>
  <si>
    <t>SUITCASE X-TREME 12 VS</t>
  </si>
  <si>
    <t>ALIMENTADOR SE ENCUENTRA OPERATIVO PERO EL GATILLO SE QUEDA ACTIVADO</t>
  </si>
  <si>
    <t>ANTORCHA (SIN TOBERA), RODILLOS DE ARRASTRE X2, GRAPA A TIERRA, ROLLO DE ALAMBRE TUBULAR</t>
  </si>
  <si>
    <t>INVERTEC PLASMA 125</t>
  </si>
  <si>
    <t>MELQUIADES PALOMINO GUARDAPUCLLA</t>
  </si>
  <si>
    <t>HANDYPLASMA 45i</t>
  </si>
  <si>
    <t>KC8222141593</t>
  </si>
  <si>
    <t>708-2</t>
  </si>
  <si>
    <t>U1081204546</t>
  </si>
  <si>
    <t>DISPLAY DE CORRIENTE OSCILA</t>
  </si>
  <si>
    <t>708-1</t>
  </si>
  <si>
    <t>U1060917444</t>
  </si>
  <si>
    <t>SE REINICIA</t>
  </si>
  <si>
    <t>FLOBA</t>
  </si>
  <si>
    <t>MAXSTAR 200</t>
  </si>
  <si>
    <t>MB070023L</t>
  </si>
  <si>
    <t>JUAN CRUZ SOLDEX</t>
  </si>
  <si>
    <t>WARRIOR 500</t>
  </si>
  <si>
    <t xml:space="preserve">339-602-4278	</t>
  </si>
  <si>
    <t xml:space="preserve">635-717-0006	</t>
  </si>
  <si>
    <t>EMP 215ic</t>
  </si>
  <si>
    <t xml:space="preserve">552-645-0002	</t>
  </si>
  <si>
    <t>XMT 350 PC3</t>
  </si>
  <si>
    <t>ESTADOS</t>
  </si>
  <si>
    <t>CONDICIONES</t>
  </si>
  <si>
    <t xml:space="preserve">Porcentaje de avance </t>
  </si>
  <si>
    <t>Req. mayor informacion</t>
  </si>
  <si>
    <t>Rep. de tarjeta</t>
  </si>
  <si>
    <t>Esp. de dispositivos</t>
  </si>
  <si>
    <t>Enviado a tercero</t>
  </si>
  <si>
    <t>Almacenado reparado</t>
  </si>
  <si>
    <t>Almacenado sin reparacion</t>
  </si>
  <si>
    <t>En mantenimiento</t>
  </si>
  <si>
    <t>Con mantenimiento a falta de dispositivos</t>
  </si>
  <si>
    <t>Con mantenimiento a falta de repuestos</t>
  </si>
  <si>
    <t>Operativo</t>
  </si>
  <si>
    <t>Baja</t>
  </si>
  <si>
    <t>Cambio</t>
  </si>
  <si>
    <t>Devolucion a Soldamundo</t>
  </si>
  <si>
    <t>METAL SUR</t>
  </si>
  <si>
    <t>Mantenimiento preventivo</t>
  </si>
  <si>
    <t>-</t>
  </si>
  <si>
    <t xml:space="preserve">REGISTRO DE EQUIPOS ANTIGUOS DE ALMACEN </t>
  </si>
  <si>
    <t xml:space="preserve">ANTIGÜEDAD </t>
  </si>
  <si>
    <t xml:space="preserve">INFORME </t>
  </si>
  <si>
    <t>EMPRESA</t>
  </si>
  <si>
    <t xml:space="preserve">MODELO </t>
  </si>
  <si>
    <t>SERIE</t>
  </si>
  <si>
    <t xml:space="preserve">INFORME TÉCNICO </t>
  </si>
  <si>
    <t xml:space="preserve">ESTADO DE LA MAQUINA </t>
  </si>
  <si>
    <t xml:space="preserve">OPERATIVO </t>
  </si>
  <si>
    <t>461_23</t>
  </si>
  <si>
    <t>328 (2)</t>
  </si>
  <si>
    <t>RC INGENIERIA MECANICA EIRL</t>
  </si>
  <si>
    <t>MC190304A</t>
  </si>
  <si>
    <t xml:space="preserve">Inoperativo </t>
  </si>
  <si>
    <t xml:space="preserve">Ventilador y cable de alimentación dañado. </t>
  </si>
  <si>
    <t xml:space="preserve">Fata pc1 tarjeta de control, pernos de PC1, pernos de tierra, rodamiento del ventilador </t>
  </si>
  <si>
    <t>460_23</t>
  </si>
  <si>
    <t>328 (1)</t>
  </si>
  <si>
    <t>SUIT CASE XTREME 12VS</t>
  </si>
  <si>
    <t>MH093083V</t>
  </si>
  <si>
    <t xml:space="preserve">cambio de Contactor 12VDC W/Bus Bars </t>
  </si>
  <si>
    <t>Esta sin contactor 12VDC</t>
  </si>
  <si>
    <t>479-23</t>
  </si>
  <si>
    <t>NEVTE INVERSIONES GENERALES SAC</t>
  </si>
  <si>
    <t>STANLEY</t>
  </si>
  <si>
    <t>WD200IC2</t>
  </si>
  <si>
    <t>cambio de 6 IGBT´s 40N60NPFD, Resistencia SMD 10 ohm</t>
  </si>
  <si>
    <t xml:space="preserve">Ausencia del ventilador, 6 igbts, 1 resistencia. </t>
  </si>
  <si>
    <t>459-23</t>
  </si>
  <si>
    <t>328 (3)</t>
  </si>
  <si>
    <t>MJ453136V</t>
  </si>
  <si>
    <t xml:space="preserve">Contactor 12VDC W/Bus Bars </t>
  </si>
  <si>
    <t xml:space="preserve">Falta accesorios del carrete de alambre, conector media luna macho/ grapaa tierra y contactor en mal estado. </t>
  </si>
  <si>
    <t xml:space="preserve">se saco 2 rodillos para alambre solido </t>
  </si>
  <si>
    <t>WELWELL</t>
  </si>
  <si>
    <t>TIG200 PULSE</t>
  </si>
  <si>
    <t>IEC974-1</t>
  </si>
  <si>
    <t xml:space="preserve">Sin informe </t>
  </si>
  <si>
    <t>falta 12 IGBTS, Tarjeta y menneke monófasico.</t>
  </si>
  <si>
    <t>I- 18430235</t>
  </si>
  <si>
    <t>MF223083V</t>
  </si>
  <si>
    <t>Funciona el motor, los swicth del panel de control internos, tarjeta de panel de control/no tiene contactor, tarjeta de control, fitting, valvula(filtro interno)</t>
  </si>
  <si>
    <t>WELD DAF</t>
  </si>
  <si>
    <t>La tarjeta se encuentra dañada</t>
  </si>
  <si>
    <t xml:space="preserve">4 IGBTS (6W60V60DF), 6 diodos (STTH60W03CW), ventilador 24, tarjeta de panel, menneke monofásico. </t>
  </si>
  <si>
    <t xml:space="preserve">Su tarjeta de control se encuentra en mal estado. </t>
  </si>
  <si>
    <t xml:space="preserve">Terminal dinse, transformador, tarjeta de panel, 6 diodos (STTH60W03CW), ventilador 24V, menneke monofásico. </t>
  </si>
  <si>
    <t>GMF 200 PRO</t>
  </si>
  <si>
    <t xml:space="preserve">El equipo es irreparable </t>
  </si>
  <si>
    <t>Transformador, ventilador 24V, terminales dinse, 6 diodos (STTH60W03CW)</t>
  </si>
  <si>
    <t>LHN 200i plus</t>
  </si>
  <si>
    <t>I1823XX069</t>
  </si>
  <si>
    <t>De baja</t>
  </si>
  <si>
    <t>Retiro de componentes de la tarjeta (repuestos de segunda)</t>
  </si>
  <si>
    <t>MILTON CONDORI</t>
  </si>
  <si>
    <t>LHN 242i ROGUE</t>
  </si>
  <si>
    <t>HA94620450058</t>
  </si>
  <si>
    <t>Tarjeta invertec dañada, accesorios de proteccion rotos</t>
  </si>
  <si>
    <t>se pide solicitar devolucion del equipo al cliente ya que aun no paso el año</t>
  </si>
  <si>
    <t>M&amp;N AQP Electromecanic</t>
  </si>
  <si>
    <t>BOSCH</t>
  </si>
  <si>
    <t>GLM50C</t>
  </si>
  <si>
    <t>GLM50C121533618</t>
  </si>
  <si>
    <t>Estuche, caja y 8 manuales</t>
  </si>
  <si>
    <t>SERVICIO: Tarjeta dañada</t>
  </si>
  <si>
    <t>Meneke rojo, sin 3 pernos</t>
  </si>
  <si>
    <t>Electromecanica Los Amigos</t>
  </si>
  <si>
    <t xml:space="preserve">Garantía ESAB: Cambio de antorcha </t>
  </si>
  <si>
    <t>Tobera, punta de contacto, difusor de gas</t>
  </si>
  <si>
    <t>Leonidas Escarcina Torres</t>
  </si>
  <si>
    <t>RUSTLER EM455i</t>
  </si>
  <si>
    <t>GC22323470010</t>
  </si>
  <si>
    <t>Garantía ESAB</t>
  </si>
  <si>
    <t xml:space="preserve">Cable y meneke rojo, 2 pinzas a tierra, 1 antorcha, punta de contacto y difusor de gas </t>
  </si>
  <si>
    <t xml:space="preserve">Miguel Angel Aynaya </t>
  </si>
  <si>
    <t xml:space="preserve">Heliarc 403i	</t>
  </si>
  <si>
    <t>ES14922040012</t>
  </si>
  <si>
    <t>Caable y meneke rojo, antorcha</t>
  </si>
  <si>
    <t>CELICON Ingenieros</t>
  </si>
  <si>
    <t>EM 210</t>
  </si>
  <si>
    <t>HA4052410053</t>
  </si>
  <si>
    <t>Manguera, antorcha, grapa a tierra, carrete de alambre y 1 rodillo</t>
  </si>
  <si>
    <t>Robust Feed Pro</t>
  </si>
  <si>
    <t>Servicio: Revisión general</t>
  </si>
  <si>
    <t xml:space="preserve">Antorcha, cuello de ganzo, difusor de gas, punta de contacto y flujometro. </t>
  </si>
  <si>
    <t>851-1</t>
  </si>
  <si>
    <t>851-2</t>
  </si>
  <si>
    <t>851-4</t>
  </si>
  <si>
    <t>851-3</t>
  </si>
  <si>
    <t>Conectores dinse aéreos hembra y macho. Manguera</t>
  </si>
  <si>
    <t>WELDING</t>
  </si>
  <si>
    <t>LHN 280i Plus</t>
  </si>
  <si>
    <t>HA91924010054</t>
  </si>
  <si>
    <t>Grapa a tierra, porta electrodo, meneke azul.</t>
  </si>
  <si>
    <t>VARGAS MARQUEZ CARLOS FRANCISCO</t>
  </si>
  <si>
    <t>Cut Master 120</t>
  </si>
  <si>
    <t xml:space="preserve">MP- 002 	</t>
  </si>
  <si>
    <t xml:space="preserve">	Servicio: Revisión general</t>
  </si>
  <si>
    <t>1 Cable rojo, antorcha (con consumibles desgastados), grapa a tierra.</t>
  </si>
  <si>
    <t>854-1</t>
  </si>
  <si>
    <t>854-2</t>
  </si>
  <si>
    <t>854-6</t>
  </si>
  <si>
    <t>854-5</t>
  </si>
  <si>
    <t>854-4</t>
  </si>
  <si>
    <t>854-3</t>
  </si>
  <si>
    <t>Robust Feed</t>
  </si>
  <si>
    <t>Warrior 500i CC/CV</t>
  </si>
  <si>
    <t>949-050-0550</t>
  </si>
  <si>
    <t>512-052-8320</t>
  </si>
  <si>
    <t>512-052-8326</t>
  </si>
  <si>
    <t>512-052-8323</t>
  </si>
  <si>
    <t>949-050-0548</t>
  </si>
  <si>
    <t>949-050-0549</t>
  </si>
  <si>
    <t>Falta tapa de perilla</t>
  </si>
  <si>
    <t>1 Cable y 1 Meneque rojo, le falta pernos</t>
  </si>
  <si>
    <t xml:space="preserve">Falta Perilla </t>
  </si>
  <si>
    <t>855-1</t>
  </si>
  <si>
    <t>855-2</t>
  </si>
  <si>
    <t>TOYAKI</t>
  </si>
  <si>
    <t>TK-MS400P</t>
  </si>
  <si>
    <t>Cable y meneque rojo</t>
  </si>
  <si>
    <t>856-1</t>
  </si>
  <si>
    <t>856-2</t>
  </si>
  <si>
    <t>JOSE CANA</t>
  </si>
  <si>
    <t>Rende NBC 350</t>
  </si>
  <si>
    <t>LD-10-500A</t>
  </si>
  <si>
    <t>LD</t>
  </si>
  <si>
    <t>KENDE</t>
  </si>
  <si>
    <t xml:space="preserve">Cable y meneque rojo </t>
  </si>
  <si>
    <t>1 Cable, antorcha, conector dinse macho, 1 rollo de alambre, 1 manguera azul, 1 manguera negra y flujometro</t>
  </si>
  <si>
    <t xml:space="preserve">ATRIOM </t>
  </si>
  <si>
    <t>I19100006</t>
  </si>
  <si>
    <t>Cable y meneke azul.</t>
  </si>
  <si>
    <t xml:space="preserve">LHN 280i Plus        </t>
  </si>
  <si>
    <t>858-1</t>
  </si>
  <si>
    <t>858-2</t>
  </si>
  <si>
    <t>SuitCase X-Treme 12VS</t>
  </si>
  <si>
    <t xml:space="preserve">XMT 425 VS	</t>
  </si>
  <si>
    <t>MD180105U</t>
  </si>
  <si>
    <t>MD501004U</t>
  </si>
  <si>
    <t>Cable, meneque rojo, cable porta electrodo y grapa a tierra.</t>
  </si>
  <si>
    <t>Flujometro, Grapa a tierra, Antorcha (Tobera, punta de contacto y difusor de gas), rollo de alambre y manguera.</t>
  </si>
  <si>
    <t>859-2</t>
  </si>
  <si>
    <t>859-1</t>
  </si>
  <si>
    <t>Julián Villavicencio</t>
  </si>
  <si>
    <t>CUT MASTER 40</t>
  </si>
  <si>
    <t>007-128-0065</t>
  </si>
  <si>
    <t>EC60974-1</t>
  </si>
  <si>
    <t xml:space="preserve">Servicio: Revisión General	</t>
  </si>
  <si>
    <t>Servicio: Revisión General En ocasiones se queda apretado el gatillo.</t>
  </si>
  <si>
    <t>Cable, meneque azul, antorcha y grapa a tierra</t>
  </si>
  <si>
    <t xml:space="preserve">Cable y meneke azul </t>
  </si>
  <si>
    <t>HA91924260127</t>
  </si>
  <si>
    <t>JOSE ZEA GARCIA</t>
  </si>
  <si>
    <t>HANDY ARC162i</t>
  </si>
  <si>
    <t>HA02421270096</t>
  </si>
  <si>
    <t>Servicio: Revisión General No enciende</t>
  </si>
  <si>
    <t>Caja, Tecnopor, guia deusuario</t>
  </si>
  <si>
    <t>CUT MASTER 100</t>
  </si>
  <si>
    <t>MX2112369254</t>
  </si>
  <si>
    <t>Cable y grapa a tierra</t>
  </si>
  <si>
    <t>Cable de control</t>
  </si>
  <si>
    <t>HA94622490656</t>
  </si>
  <si>
    <t>PROMART</t>
  </si>
  <si>
    <t>BANTAM 2.5</t>
  </si>
  <si>
    <t>GC34824280280</t>
  </si>
  <si>
    <t>Garantia:ESAB</t>
  </si>
  <si>
    <t>Cable y grapa a tierra portaelectrodo y enchufe</t>
  </si>
  <si>
    <t>864-2</t>
  </si>
  <si>
    <t>LH420485V</t>
  </si>
  <si>
    <t xml:space="preserve">ARCHENA INVERSIONES S.A.C </t>
  </si>
  <si>
    <t>HA94621450396</t>
  </si>
  <si>
    <t>Grapa a tierra y porta electrodo</t>
  </si>
  <si>
    <t>866-1</t>
  </si>
  <si>
    <t>866-2</t>
  </si>
  <si>
    <t>Xperformance GMF 250 ARC</t>
  </si>
  <si>
    <t>METAL SUR FAMIN S.R.L</t>
  </si>
  <si>
    <t>MSF-21061</t>
  </si>
  <si>
    <t>MF454033U</t>
  </si>
  <si>
    <t>Porta electrodo, grapa a tierra, cable y meneke azul</t>
  </si>
  <si>
    <t>MAGDALENA CHAMPI BATALLANOS</t>
  </si>
  <si>
    <t>HandyArc162</t>
  </si>
  <si>
    <t>HA02421030052</t>
  </si>
  <si>
    <t xml:space="preserve">Cable </t>
  </si>
  <si>
    <t>Big Blue 400X</t>
  </si>
  <si>
    <t>ME2200655F</t>
  </si>
  <si>
    <t xml:space="preserve">ARCWELD </t>
  </si>
  <si>
    <t>Z3171028821</t>
  </si>
  <si>
    <t>EDWIN CHOQUE</t>
  </si>
  <si>
    <t>GC22324200018</t>
  </si>
  <si>
    <t>Cable y meneke rojo, grapa a tierra, antorcha(punta de contacto, difusor de gas,tobera)</t>
  </si>
  <si>
    <t>MANTSERV</t>
  </si>
  <si>
    <t>MTS350 CC/CV COMPACT</t>
  </si>
  <si>
    <t>H1803294059</t>
  </si>
  <si>
    <t>Cable y meneke rojo, antorcha</t>
  </si>
  <si>
    <t>H1803294026</t>
  </si>
  <si>
    <t>Manguera roja, cable y meneke rojo, antorcha(tobera)</t>
  </si>
  <si>
    <t>SR. JULIO</t>
  </si>
  <si>
    <t>WARRIOR 300i CC/CV</t>
  </si>
  <si>
    <t>LR1925110002</t>
  </si>
  <si>
    <t>Servicio de mantenimiento y calibración de operatividad VRD
Falla informada: Salata la llave (fusible) al momento de prenderla</t>
  </si>
  <si>
    <t>IAMFA INGENIERÍA</t>
  </si>
  <si>
    <t>RONCH</t>
  </si>
  <si>
    <t>RONCHWELD 280 MAX</t>
  </si>
  <si>
    <t>Servicio: Revisión general.
Falla nformada: El conector positivo presenta chispa, pero si suelda</t>
  </si>
  <si>
    <t>875-1</t>
  </si>
  <si>
    <t>875-2</t>
  </si>
  <si>
    <t>875-3</t>
  </si>
  <si>
    <t>875-4</t>
  </si>
  <si>
    <t>PETER BILL SRL</t>
  </si>
  <si>
    <t>Miggy TRAC 1001</t>
  </si>
  <si>
    <t>Magnetictrac - ET2 MIG/MAG</t>
  </si>
  <si>
    <t>Warrior Feed 304 W</t>
  </si>
  <si>
    <t>TP1516014</t>
  </si>
  <si>
    <t>Transformador tiroideal</t>
  </si>
  <si>
    <t>Sin alambre</t>
  </si>
  <si>
    <t>876-1</t>
  </si>
  <si>
    <t>876-2</t>
  </si>
  <si>
    <t>876-3</t>
  </si>
  <si>
    <t>CST 280 VRD</t>
  </si>
  <si>
    <t>MB0603355G</t>
  </si>
  <si>
    <t>MJ034116U</t>
  </si>
  <si>
    <t>MAQUINTEC PERU S.A.C.</t>
  </si>
  <si>
    <t>MIG 200 IGBT</t>
  </si>
  <si>
    <t>Cable, meneke azul, antorcha(tobera, punta de contacto), grapa a tierra, con rodillos y rollo de alambre.</t>
  </si>
  <si>
    <t>WILBER GALLEGOS</t>
  </si>
  <si>
    <t>Origo Arc 3001i</t>
  </si>
  <si>
    <t>I19317042</t>
  </si>
  <si>
    <t>Enchufe verde + porta electrodo + grapa a tierra + 14 tornillos de tapa</t>
  </si>
  <si>
    <t>HANSEL VARGAS</t>
  </si>
  <si>
    <t>MIG 250 IGBT</t>
  </si>
  <si>
    <t>IEC60974</t>
  </si>
  <si>
    <t>1 Cable + antorcha</t>
  </si>
  <si>
    <t>880-1</t>
  </si>
  <si>
    <t>880-2</t>
  </si>
  <si>
    <t>880-3</t>
  </si>
  <si>
    <t>PROMAP SAC</t>
  </si>
  <si>
    <t>WARRIOR 500i CC/CV</t>
  </si>
  <si>
    <t>WARRIOR FEED 304W</t>
  </si>
  <si>
    <t>512-050-8301</t>
  </si>
  <si>
    <t>512-134-8955</t>
  </si>
  <si>
    <t>PRO-MAQ-SOL-003</t>
  </si>
  <si>
    <t xml:space="preserve">Cable + rodillo +manguera </t>
  </si>
  <si>
    <t>Cable + meneke rojo</t>
  </si>
  <si>
    <t>Cable +meneke rojo + antorcha (tobera, punta de contacto, disfusor de gas)/ no perilla</t>
  </si>
  <si>
    <t>BRYMARK SERVICIOS GENERALES EIRL</t>
  </si>
  <si>
    <t>INVERTEC V270-S 2V</t>
  </si>
  <si>
    <t>CONFIPETROL</t>
  </si>
  <si>
    <t>WARRIOR 350i</t>
  </si>
  <si>
    <t>635-051-0638</t>
  </si>
  <si>
    <t>LUIS FLORENTINO ZELA</t>
  </si>
  <si>
    <t>HA41524350030</t>
  </si>
  <si>
    <t>Cable y enchyfe levinton, grapa a tierra y antorcha. </t>
  </si>
  <si>
    <t>transformador</t>
  </si>
  <si>
    <t>884-1</t>
  </si>
  <si>
    <t>884-2</t>
  </si>
  <si>
    <t>884-4</t>
  </si>
  <si>
    <t>884-3</t>
  </si>
  <si>
    <t>Servicio Nacional de Adiestramiento en Trabajo Industrial</t>
  </si>
  <si>
    <t>FAST MIG M420 MV</t>
  </si>
  <si>
    <t>FAST MIG MXF 67</t>
  </si>
  <si>
    <t>P00110010</t>
  </si>
  <si>
    <t>P-00110018</t>
  </si>
  <si>
    <t>Sin rollo de alambre</t>
  </si>
  <si>
    <t>Cable +meneke rojo, flujometro, antorcha (tobera, punta de contacto, difusor de gas) y carrito</t>
  </si>
  <si>
    <t>Rollo de alambre</t>
  </si>
  <si>
    <t>Cable + meneke rojo, grapa a tierra, porta electrodo, antorcha( tobera, punta de contacto, difusor de gas), flujometro y carrito</t>
  </si>
  <si>
    <t>Sin rodillo de alambre</t>
  </si>
  <si>
    <t>886-1</t>
  </si>
  <si>
    <t>886-2</t>
  </si>
  <si>
    <t>REINGRESO</t>
  </si>
  <si>
    <t>635-834-0270</t>
  </si>
  <si>
    <t>Cable + meneke rojo, cable de control, cable de potencia y manguera de gas</t>
  </si>
  <si>
    <t>CONTROL DE EQUIPOS CABELAB - 2025</t>
  </si>
  <si>
    <t>MG10409U</t>
  </si>
  <si>
    <t>Servicio:
Revisión general</t>
  </si>
  <si>
    <t>PROYECTOS DE INGENIERIA Y SERVICIOS S.C.R.L.</t>
  </si>
  <si>
    <t>Fabricator Feed 364</t>
  </si>
  <si>
    <t>MC03723270076</t>
  </si>
  <si>
    <t>Manguera negra, cable, sin rollo de alambre.</t>
  </si>
  <si>
    <t xml:space="preserve">Devolucion </t>
  </si>
  <si>
    <t>JOSÉ VELÁSQUEZ</t>
  </si>
  <si>
    <t>LHN 220i Plus</t>
  </si>
  <si>
    <t>Cable + enchufe blanco, correa, grapa a tierra y porta electrodo</t>
  </si>
  <si>
    <t>ET300i P</t>
  </si>
  <si>
    <t>346-419-0493</t>
  </si>
  <si>
    <t>Cable + meneke rojo, manguera negra y antorcha.</t>
  </si>
  <si>
    <t>891-1</t>
  </si>
  <si>
    <t>891-2</t>
  </si>
  <si>
    <t xml:space="preserve">Origo Arc3001i	</t>
  </si>
  <si>
    <t xml:space="preserve">LJ18052	</t>
  </si>
  <si>
    <t>Cable+ meneke rojo, porta electrodo y grapa a tierra</t>
  </si>
  <si>
    <t>HA93122300046</t>
  </si>
  <si>
    <t>SERVICIOS GENERALES PANASUR SRL</t>
  </si>
  <si>
    <t>635-809-0136</t>
  </si>
  <si>
    <t>Cable + meneke rojo.
Observación indicada (equipo desarmado interiormente)</t>
  </si>
  <si>
    <t>894-1</t>
  </si>
  <si>
    <t>894-2</t>
  </si>
  <si>
    <t>894-5</t>
  </si>
  <si>
    <t>894-4</t>
  </si>
  <si>
    <t>894-3</t>
  </si>
  <si>
    <t>893-1</t>
  </si>
  <si>
    <t>893-2</t>
  </si>
  <si>
    <t>893-3</t>
  </si>
  <si>
    <t>XMT 350 FIEL PRO</t>
  </si>
  <si>
    <t>SUITCASE 12 VS</t>
  </si>
  <si>
    <t>NB464021U</t>
  </si>
  <si>
    <t>NB243003U</t>
  </si>
  <si>
    <t xml:space="preserve">Cable de potencia, manguera, flujometro, grapa a tierra </t>
  </si>
  <si>
    <t>A&amp;C BUSINESS CORPORATION S.A.</t>
  </si>
  <si>
    <t>XMT 350</t>
  </si>
  <si>
    <t>MH144065U</t>
  </si>
  <si>
    <t>MJ034207U</t>
  </si>
  <si>
    <t>HA94623312016</t>
  </si>
  <si>
    <t>ES300I</t>
  </si>
  <si>
    <t>Grapa a tierra, porta electrodo, cable + meneke azul</t>
  </si>
  <si>
    <t>895-1</t>
  </si>
  <si>
    <t>895-2</t>
  </si>
  <si>
    <t>895-3</t>
  </si>
  <si>
    <t>895-4</t>
  </si>
  <si>
    <t>895-5</t>
  </si>
  <si>
    <t>895-6</t>
  </si>
  <si>
    <t>HA94623370109</t>
  </si>
  <si>
    <t>LH220410A</t>
  </si>
  <si>
    <t>LG040145A</t>
  </si>
  <si>
    <t>U11611103544</t>
  </si>
  <si>
    <t>U1161103545</t>
  </si>
  <si>
    <t xml:space="preserve">U1161007855	</t>
  </si>
  <si>
    <t xml:space="preserve">Garantía </t>
  </si>
  <si>
    <t>Cable + meneke azul y correa</t>
  </si>
  <si>
    <t>TIBURCIO CASCAMAYTA</t>
  </si>
  <si>
    <t>GC34823480255</t>
  </si>
  <si>
    <t xml:space="preserve">GARANTÍA ESAB </t>
  </si>
  <si>
    <t>CABLE + ENCHUFE NEGRO, PORTA ELECTRODO, GRAPA A TIERRA, CORREA, CAJA Y BOLSA</t>
  </si>
  <si>
    <t>FABRICA DE MAQUINARIAS MARIO GIANNINI SAC</t>
  </si>
  <si>
    <t>MIG C340 PRO</t>
  </si>
  <si>
    <t>119-512-0868</t>
  </si>
  <si>
    <t xml:space="preserve">Cable + meneke rojo, antorcha (tobera, punta de contacto, difusor de gas), grapa a tierra, manguera azul, con tarjeta afuera, transformador y 3 pernos.
Falla informada: Problemas en la tarjeta  </t>
  </si>
  <si>
    <t>MA480102A</t>
  </si>
  <si>
    <t>PRODISE</t>
  </si>
  <si>
    <t>CUT MASTER 120</t>
  </si>
  <si>
    <t>MX2150076981</t>
  </si>
  <si>
    <t>Meneke rojo y cable a tierra</t>
  </si>
  <si>
    <t>901-1</t>
  </si>
  <si>
    <t>901-2</t>
  </si>
  <si>
    <t>949-004-0379</t>
  </si>
  <si>
    <t>949-049-0521</t>
  </si>
  <si>
    <t>Mantenimiento</t>
  </si>
  <si>
    <t>Antorcha (Tobera doble cuerpo, punta de contacto) + manguera de gas</t>
  </si>
  <si>
    <t>RAUL ERNESTO PINTO</t>
  </si>
  <si>
    <t>INVERTE IN-350 CV</t>
  </si>
  <si>
    <t>Servicio: Revision General</t>
  </si>
  <si>
    <t>Cable, enchufe negro, grapa a tierra, porta electrodo y maletin azul</t>
  </si>
  <si>
    <t>CONSERMEC S.A.C.</t>
  </si>
  <si>
    <t>I19021033</t>
  </si>
  <si>
    <t xml:space="preserve">Cable + meneke azul </t>
  </si>
  <si>
    <t>RIVER WALDIR SANTIAGO SALAZAR</t>
  </si>
  <si>
    <t>HA2721180138</t>
  </si>
  <si>
    <t>Grapa a tierra, antorcha, manguera, cable y meneke</t>
  </si>
  <si>
    <t>LHN242I</t>
  </si>
  <si>
    <t>Cuando el cable de alimentacion se mueve, se prende y se apaga</t>
  </si>
  <si>
    <t>Cable + Meneke negro</t>
  </si>
  <si>
    <t>LHN240I</t>
  </si>
  <si>
    <t>Revision general</t>
  </si>
  <si>
    <t>Cable, meneke azul, grapa a tierra</t>
  </si>
  <si>
    <t>907-1</t>
  </si>
  <si>
    <t>907-2</t>
  </si>
  <si>
    <t>907-3</t>
  </si>
  <si>
    <t>907-4</t>
  </si>
  <si>
    <t>907-5</t>
  </si>
  <si>
    <t>RACSO CORP. S.A.C</t>
  </si>
  <si>
    <t>MB1000566</t>
  </si>
  <si>
    <t>PE-01</t>
  </si>
  <si>
    <t>RM123120V</t>
  </si>
  <si>
    <t>ME3919501</t>
  </si>
  <si>
    <t>MA190276A</t>
  </si>
  <si>
    <t>Con Cable</t>
  </si>
  <si>
    <t>Sin cable, sin perillas, sin perneria, con tapa</t>
  </si>
  <si>
    <t>Sin cable, sin perillas, sin switch, sin perneria externa e interna con tapa</t>
  </si>
  <si>
    <t>Con perilla, sin perneria externa, con tapa</t>
  </si>
  <si>
    <t>Con cable, sin perilla, sin perneria, con tapa</t>
  </si>
  <si>
    <t>HA94624230041</t>
  </si>
  <si>
    <t>Caja, grapa a tierra, cable, Equipo completo</t>
  </si>
  <si>
    <t>ANTONI SEBASTIAN TICONA VILLALBA</t>
  </si>
  <si>
    <t>I17100980</t>
  </si>
  <si>
    <t>Cable + enchufe negro, grapa a tierra y porta electrodo</t>
  </si>
  <si>
    <t>HA91023360312</t>
  </si>
  <si>
    <t>Cablle + meneque azul</t>
  </si>
  <si>
    <t>911-1</t>
  </si>
  <si>
    <t>911-2</t>
  </si>
  <si>
    <t>METAL SUR FAMIN S.R.L.</t>
  </si>
  <si>
    <t>ArcReach 12 VS</t>
  </si>
  <si>
    <t>MH464069U</t>
  </si>
  <si>
    <t>MNB453035U</t>
  </si>
  <si>
    <t xml:space="preserve">Servicio: Revisión general
Falla informada: Parpadea al momento de soldar </t>
  </si>
  <si>
    <t>Servicio: Revisión general
Falla informada: No jala el alambre al momento de soldar</t>
  </si>
  <si>
    <t>Cable a tierra, rollo de alambre, sin rodillos, cable de potencia azul</t>
  </si>
  <si>
    <t>Cable + meneke rojo, tapa de perillas completas y switch</t>
  </si>
  <si>
    <t xml:space="preserve">JIMENEZ GRANDA, NEIDER ELOY </t>
  </si>
  <si>
    <t>COMPACT MIG 215i</t>
  </si>
  <si>
    <t>HA81122360021</t>
  </si>
  <si>
    <t>Rev. General
Falla informada: no está botando la soldadura, cuando se suelda no bota el alambre.</t>
  </si>
  <si>
    <t>Cable + enchufe levinton amarillo, antorcha (tobera, punta de contacto, difusor de gas), grapa a tierra, rollo de alambre</t>
  </si>
  <si>
    <t>CORPORACIÓN RICO S.A.C.</t>
  </si>
  <si>
    <t>ARCWELD 200I ST</t>
  </si>
  <si>
    <t xml:space="preserve">Cable + enchufe leviton, grapa a tierra y portaelectrodo </t>
  </si>
  <si>
    <t>R.C. INGENIERÍA MECÁNICA E.I.R.L.</t>
  </si>
  <si>
    <t>OP13922150082</t>
  </si>
  <si>
    <t>Garantía ESAB
Falla informada: Problemas con la válvula</t>
  </si>
  <si>
    <t xml:space="preserve">Manguera, cable de potencia azul y grapa a tierra, sin rollo de alambre </t>
  </si>
  <si>
    <t>915-1</t>
  </si>
  <si>
    <t>915-2</t>
  </si>
  <si>
    <t>915-3</t>
  </si>
  <si>
    <t>915-4</t>
  </si>
  <si>
    <t>915-5</t>
  </si>
  <si>
    <t>SOLDEX S.A.</t>
  </si>
  <si>
    <t>CUTMASTER 120</t>
  </si>
  <si>
    <t>635-809-0131</t>
  </si>
  <si>
    <t>635-716-0006</t>
  </si>
  <si>
    <t xml:space="preserve">Grapa a tierra + cable </t>
  </si>
  <si>
    <t>Cable +  meneke rojo, le falta el costado de la asa</t>
  </si>
  <si>
    <t xml:space="preserve">Cable + meneke rojo </t>
  </si>
  <si>
    <t>916-1</t>
  </si>
  <si>
    <t>916-2</t>
  </si>
  <si>
    <t xml:space="preserve">Acortar cable de potencia y control a 2m.
También cambiar conectores </t>
  </si>
  <si>
    <t xml:space="preserve">Conectores dinse aéreos macho y hembra </t>
  </si>
  <si>
    <t>917-1</t>
  </si>
  <si>
    <t>917-2</t>
  </si>
  <si>
    <t>RACIONALIZACIÓN EMPRESARIAL S.A.</t>
  </si>
  <si>
    <t>DIMENSION 650</t>
  </si>
  <si>
    <t>ARCREACH SUIT CASE 12</t>
  </si>
  <si>
    <t>MJ020632C</t>
  </si>
  <si>
    <t>MJ373093V</t>
  </si>
  <si>
    <t xml:space="preserve">Servicio: Revisión general
Falla informada: Percutor de pistola trabaja intermitente </t>
  </si>
  <si>
    <t>Servicio: Revisión general
Falla informada: Automático de maleta no funciona</t>
  </si>
  <si>
    <t>Cable + meneke rojo, antorcha y porta electrodo</t>
  </si>
  <si>
    <t>Rollo de alambre, rodillos (2), grapa a tierra, antorcha (tobera de doble cuerpo, dibusor de gas, punta de contacto)</t>
  </si>
  <si>
    <t>VÍCTOR SANCCA POMA</t>
  </si>
  <si>
    <t xml:space="preserve">ROBUST FEED PRO </t>
  </si>
  <si>
    <t>137-230-1059</t>
  </si>
  <si>
    <t xml:space="preserve">Falla informada: Cotizar cable de control + conector hembra (3 m.), y realizar las pruebas </t>
  </si>
  <si>
    <t>4 rodillos tubulares de de 1.2.</t>
  </si>
  <si>
    <t>PROYECTOS DE OPTIMIZACIÓN S.A.</t>
  </si>
  <si>
    <t>SMASHWELD 300I INVERTER</t>
  </si>
  <si>
    <t>HA81022370019</t>
  </si>
  <si>
    <t>Servicio: Revisión general
Falla informada: Sobrecalentamiento en corto tiempo de trabajo</t>
  </si>
  <si>
    <t xml:space="preserve">Antorcha (tobera, punta de contacto, difusor de gas), cable + meneke rojo, grapa a tierra, sin rollo de almbre </t>
  </si>
  <si>
    <t xml:space="preserve">RADIADORES ARNAO INDUSTRIAL S.A.C </t>
  </si>
  <si>
    <t>AC/DC TIG 250  HF</t>
  </si>
  <si>
    <t>HENRRY PANTALEON</t>
  </si>
  <si>
    <t>MP360071U</t>
  </si>
  <si>
    <t>DIMENSION 652 CC/CV</t>
  </si>
  <si>
    <t>MB050550U</t>
  </si>
  <si>
    <t>MINARC EVO 180</t>
  </si>
  <si>
    <t xml:space="preserve">Cable + enchufe leviton, grapa a tierra, porta electrodo, pallet y cinto de enganche </t>
  </si>
  <si>
    <t>NS</t>
  </si>
  <si>
    <t>Servicio: Revisión general
Falla  informada: No marca bien</t>
  </si>
  <si>
    <t xml:space="preserve">Porta electrodo, grapa a tierra, cable + menke azul </t>
  </si>
  <si>
    <t>espera de repuestos</t>
  </si>
  <si>
    <t>921-1</t>
  </si>
  <si>
    <t>921-2</t>
  </si>
  <si>
    <t>EDEMINC S.A.C.</t>
  </si>
  <si>
    <t>RUSTLER EM 455I</t>
  </si>
  <si>
    <t>GC22322490008</t>
  </si>
  <si>
    <t>Cable + meneke rojo, antorcha (tobera, punta de contacto y difusor de gas), grapa a tierra, cable + flujometro y 2 rodillos.</t>
  </si>
  <si>
    <t>COLLANQUI HUANCA FEDERICO EFRAIN</t>
  </si>
  <si>
    <t>HA94621250195</t>
  </si>
  <si>
    <t xml:space="preserve">Garantía ESAB
Falla informada: Ventilador tiene una aspa rota </t>
  </si>
  <si>
    <t>Cable + enchufe leviton y correa</t>
  </si>
  <si>
    <t xml:space="preserve">EDISSON PAZ	</t>
  </si>
  <si>
    <t>RUSTLER 300</t>
  </si>
  <si>
    <t>Rollo de alambre, rodillo, cable + meneke, grapa a tierra, antorcha TBI (tobera, punta de contacto y difusor de gas).</t>
  </si>
  <si>
    <t>de baja</t>
  </si>
  <si>
    <t xml:space="preserve">	GENARO MONTESINOS</t>
  </si>
  <si>
    <t>RUSTLER EM215</t>
  </si>
  <si>
    <t>GC22223300009</t>
  </si>
  <si>
    <t xml:space="preserve">Cable + meneke azul, antorcha (punta de contacto, difusor de gas y tobera), grapa a tierra </t>
  </si>
  <si>
    <t>931-1</t>
  </si>
  <si>
    <t>931-2</t>
  </si>
  <si>
    <t>931-3</t>
  </si>
  <si>
    <t>CONSERMEC E.I.R.L.</t>
  </si>
  <si>
    <t>ROGUE ES 305</t>
  </si>
  <si>
    <t xml:space="preserve">LHN 280 </t>
  </si>
  <si>
    <t xml:space="preserve">	I2043309</t>
  </si>
  <si>
    <t>HA43224520509</t>
  </si>
  <si>
    <t>HA43224520587</t>
  </si>
  <si>
    <t>MANTENIMIENTO CABELAB</t>
  </si>
  <si>
    <t>CONSTRUCTORAS GENERALES DyL EIRL</t>
  </si>
  <si>
    <t>LICOLN ELECTRIC</t>
  </si>
  <si>
    <t>U1081004695</t>
  </si>
  <si>
    <t>N. de Parte / Código</t>
  </si>
  <si>
    <t>Cant.</t>
  </si>
  <si>
    <t>Descripción</t>
  </si>
  <si>
    <t>5 m</t>
  </si>
  <si>
    <t>REPUESTOS PARA CAMBIO </t>
  </si>
  <si>
    <t>GC22323350113</t>
  </si>
  <si>
    <t>Cable + meneke rojo, flujómetro con manguera, grapa a tierra, antorcha (tobera, difusor de gas, punta de contacto) y rodillos</t>
  </si>
  <si>
    <t>HA94623312010</t>
  </si>
  <si>
    <t>MAQUINARIAS E INGENIERÍA METALMECANICA S.A.</t>
  </si>
  <si>
    <t>HUGONG</t>
  </si>
  <si>
    <t>HG812</t>
  </si>
  <si>
    <t xml:space="preserve">Servicio: Revisión general	</t>
  </si>
  <si>
    <t>ECOP S.A.C</t>
  </si>
  <si>
    <t>HA94621250425</t>
  </si>
  <si>
    <t xml:space="preserve">Servicio: Mantenimiento y calibración </t>
  </si>
  <si>
    <t xml:space="preserve">Grapa a tierra, porta electrodo, cable + meneke azul  </t>
  </si>
  <si>
    <t>IMC SERVICIOS S.A.C.</t>
  </si>
  <si>
    <t>FABRICATOR ES 410iC</t>
  </si>
  <si>
    <t>Servicio: Revisión general
Falla informada: El equipo explotó internamente</t>
  </si>
  <si>
    <t>Sr. Tiburcio Cascamayta</t>
  </si>
  <si>
    <t>LHN 202i</t>
  </si>
  <si>
    <t>HA02024490268</t>
  </si>
  <si>
    <t>GARANTÍA ESAB          
 Falla informada: No enciende el equipo</t>
  </si>
  <si>
    <t>Caja, manuales, porta electrodo, grapa a tierra.</t>
  </si>
  <si>
    <t>938-1</t>
  </si>
  <si>
    <t>938-2</t>
  </si>
  <si>
    <t xml:space="preserve">RX450 </t>
  </si>
  <si>
    <t>D.C.R. MINERÍA Y CONSTRUCCIÓN S.A.C.</t>
  </si>
  <si>
    <t>255 C POWERTEC</t>
  </si>
  <si>
    <t>M3110902063</t>
  </si>
  <si>
    <t>P1120502571</t>
  </si>
  <si>
    <t>Servicio: Revisión general
Falla informada: Ligera vibración al soldar, considerar cambio de llantas, pintura, terminales, accesorios, cinta indicadora de corriente</t>
  </si>
  <si>
    <t>Servicio: Revisión general
Falla informada: A veces zapatea después de soldar 5 a 10 min, considerar pintura, accesorios, sistema de arrastre y que el flujómetro no funciona</t>
  </si>
  <si>
    <t>Grapa a tierra, porta electrodo, cable + meneke rojo</t>
  </si>
  <si>
    <t xml:space="preserve">Flujómetro con cable, grapa a tierra, antorcha( tobera, punta de contacto, difusor de gas), cable + meneke rojo </t>
  </si>
  <si>
    <t>ANIBAL CHAVEZ</t>
  </si>
  <si>
    <t>P1120600719</t>
  </si>
  <si>
    <t>Servicio: Revisión completa
Falla informada: El equipo no enciende</t>
  </si>
  <si>
    <t xml:space="preserve">Cable + meneke rojo, grapa a tierra, manguera de gas, antorcha (punta de contacto y difusor de gas), rodillos </t>
  </si>
  <si>
    <t>HA02424460121</t>
  </si>
  <si>
    <t>MULTISERVICIOS ROBERT E.I.R.L</t>
  </si>
  <si>
    <t xml:space="preserve">	PERFORMANCE GMF 200 ARC CEL </t>
  </si>
  <si>
    <t>Servicio: Revisión completa
Falla informada: No enciende, hubo un ruido interno</t>
  </si>
  <si>
    <t>JOSÉ CÁRDENAS</t>
  </si>
  <si>
    <t xml:space="preserve">	HYPERTHEM</t>
  </si>
  <si>
    <t>PowerMax 600</t>
  </si>
  <si>
    <t>PMX 600-059009</t>
  </si>
  <si>
    <t>Servicio: Cambio de corriente y ver posibilidad de cambio de antorcha</t>
  </si>
  <si>
    <t xml:space="preserve">Cable + menke rojo, antorcha y grapa a tierra. </t>
  </si>
  <si>
    <t>943-1</t>
  </si>
  <si>
    <t>943-2</t>
  </si>
  <si>
    <t>TISHER S.C.R.L.</t>
  </si>
  <si>
    <t>LINCOLN</t>
  </si>
  <si>
    <t>POWER MIG 256</t>
  </si>
  <si>
    <t>M3120305021</t>
  </si>
  <si>
    <t xml:space="preserve">Servicio: Revisión general </t>
  </si>
  <si>
    <t>Cable + meneke azul, maguera roja, grapa a tierra, rollo de almbre, 2 rodillos (0.9 mm - 1.2 mm) y antorcha (tobera, punta de contacto y difusor de gas)</t>
  </si>
  <si>
    <t xml:space="preserve">Servicio: Revisión General
Falla informada: Revisión del alternador, y que el equipo solo está trabajando en alta </t>
  </si>
  <si>
    <t>MAQUINARIAS E INGENIERIA METALMECANICA S.A.</t>
  </si>
  <si>
    <t>NB514122U</t>
  </si>
  <si>
    <t>945-1</t>
  </si>
  <si>
    <t>945-2</t>
  </si>
  <si>
    <t xml:space="preserve">VALMET S.A.C </t>
  </si>
  <si>
    <t>TARJETA DE CIRCUITO RG 285R</t>
  </si>
  <si>
    <t>TARJETA DE CIRCUITO RG 276EA</t>
  </si>
  <si>
    <t>B8051</t>
  </si>
  <si>
    <t>B8052</t>
  </si>
  <si>
    <t>Handy Arc Mig 160i</t>
  </si>
  <si>
    <t>GC22424200034</t>
  </si>
  <si>
    <t>GARANTÍA ESAB
Falla Informada: Problemas con el motor, sonidos en el ventilador.</t>
  </si>
  <si>
    <t>Cable, 1 rodillo tubular (0.8 - 0.9), caja, correa, manual, grapa a tierra, porta electrodo y antorcha</t>
  </si>
  <si>
    <t>CONSORCIO JM S.A.C.</t>
  </si>
  <si>
    <t>REBEL EMP 320iC</t>
  </si>
  <si>
    <t xml:space="preserve">	Cable + meneke rojo, grapa a tierra, antorcha (tobera, punta de contacto y difusor de gas), rollo de alambre </t>
  </si>
  <si>
    <t>DANTE GUZMAN GUTIERREZ</t>
  </si>
  <si>
    <t>HA41524460171</t>
  </si>
  <si>
    <t>Grapa a tierra, antorcha (tobera, punta de contacto y difusor de gas), flujómetro con manguera de gas y rollo de alambre autoprotegido (5 kg)</t>
  </si>
  <si>
    <t>949-1</t>
  </si>
  <si>
    <t>949-2</t>
  </si>
  <si>
    <t>JHON CHISE COLLOAPAZA</t>
  </si>
  <si>
    <t>HA41524460066</t>
  </si>
  <si>
    <t xml:space="preserve">Falla informada: Cambio de conector </t>
  </si>
  <si>
    <t>Antorcha, porta electrodo, grapa a tierra, caja. (Accesorios completos)</t>
  </si>
  <si>
    <t>950-1</t>
  </si>
  <si>
    <t>950-2</t>
  </si>
  <si>
    <t>XR 280C CELLULOSIC</t>
  </si>
  <si>
    <t>80657-06A-230204358</t>
  </si>
  <si>
    <t>80657-6A-220605588</t>
  </si>
  <si>
    <t>Servicio: Revisión generalServicio: Revisión general
Falla informada: No enciende el equipo</t>
  </si>
  <si>
    <t>Cable + meneke azul</t>
  </si>
  <si>
    <t xml:space="preserve">Cable + meneke azul, porta electrodo y grapa a tierra </t>
  </si>
  <si>
    <t xml:space="preserve">7/8/2025	</t>
  </si>
  <si>
    <t xml:space="preserve">CUTMASTER 120	</t>
  </si>
  <si>
    <t>MX2436104619</t>
  </si>
  <si>
    <t xml:space="preserve">Equipo de préstamo 	</t>
  </si>
  <si>
    <t xml:space="preserve">Antorcha con consumibles completos, manual, grapa y caja  </t>
  </si>
  <si>
    <t>952-3</t>
  </si>
  <si>
    <t>952-2</t>
  </si>
  <si>
    <t>952-1</t>
  </si>
  <si>
    <t>GyR MAQUINAS S.A.C.</t>
  </si>
  <si>
    <t xml:space="preserve">CUTMASTER 80	</t>
  </si>
  <si>
    <t xml:space="preserve">ROGUE ES305i	</t>
  </si>
  <si>
    <t>MX2449108841</t>
  </si>
  <si>
    <t>ZG14424200033</t>
  </si>
  <si>
    <t>HA43224520458</t>
  </si>
  <si>
    <t xml:space="preserve">GARANTÍA ESAB 	</t>
  </si>
  <si>
    <t xml:space="preserve">	Cable + meneke rojo </t>
  </si>
  <si>
    <t>Cable + meneke rojo, grapa a tierra</t>
  </si>
  <si>
    <t>MF234031U</t>
  </si>
  <si>
    <t>MF264038U</t>
  </si>
  <si>
    <t>MF264087U</t>
  </si>
  <si>
    <t>MF264088U</t>
  </si>
  <si>
    <t>MF254273U</t>
  </si>
  <si>
    <t>MF454004U</t>
  </si>
  <si>
    <t>ByH CARDENAS S.A.C.</t>
  </si>
  <si>
    <t xml:space="preserve">Robust Feed AVS </t>
  </si>
  <si>
    <t>OP22324430184</t>
  </si>
  <si>
    <t>Cable de potencia, antorcha y grapa a tierra</t>
  </si>
  <si>
    <t xml:space="preserve">	PERFORMANCE GMF 250 ARC</t>
  </si>
  <si>
    <t>E000112331</t>
  </si>
  <si>
    <t>PERFORMANCE GMF 250 ARC</t>
  </si>
  <si>
    <t>Servicio: Revisión general
 Falla informada: No regula el voltaje</t>
  </si>
  <si>
    <t>955-1</t>
  </si>
  <si>
    <t>955-2</t>
  </si>
  <si>
    <t>955-3</t>
  </si>
  <si>
    <t>955-8</t>
  </si>
  <si>
    <t>955-7</t>
  </si>
  <si>
    <t>955-6</t>
  </si>
  <si>
    <t>955-5</t>
  </si>
  <si>
    <t>955-4</t>
  </si>
  <si>
    <t>955-10</t>
  </si>
  <si>
    <t>955-9</t>
  </si>
  <si>
    <t>955-12</t>
  </si>
  <si>
    <t>955-11</t>
  </si>
  <si>
    <t>22 A</t>
  </si>
  <si>
    <t>MF040031V</t>
  </si>
  <si>
    <t>MF040024V</t>
  </si>
  <si>
    <t>MF040026V</t>
  </si>
  <si>
    <t>MF040028V</t>
  </si>
  <si>
    <t>MF040025V</t>
  </si>
  <si>
    <t>MF040027V</t>
  </si>
  <si>
    <t>Cable de potencia y control, manguera
Grapa a tierra, antorcha tig con consumibles sin electrodo, antorcha tweco classic (difusor), manguera, porta electrodo</t>
  </si>
  <si>
    <t>Cable de potencia y control
Antorcha tweco classic (difusor), grapa a tierra, porta electrodo, antorcha tig (sin tobera, si tungsteno)</t>
  </si>
  <si>
    <t>Cable de potencia y control
Antorcha tweco classic (con consumibles), manguera, grapa a tierra, porta electrodo, antorcha tig (sin electrodo)</t>
  </si>
  <si>
    <t>Cable de potencia y control
Porta electrodo, grapa a tierra, antorcha Profax Mig (difusor), antorcha tig (sin tobera, sin electrodo)</t>
  </si>
  <si>
    <t>Cable de potencia y control
Grapa a tierra, porta electrodo, antorcha tig, antorcha tweco classic (difusor, mitad de tobera de dos cuerpos)</t>
  </si>
  <si>
    <t>Cable de potencia y control
(sin consumibles), antorcha tweco classic (difusor), grapa a tierra, porta electrodo, manguera de gas</t>
  </si>
  <si>
    <t>cable + meneke rojo</t>
  </si>
  <si>
    <t xml:space="preserve">KELVIN PARICAHUA </t>
  </si>
  <si>
    <t>HA94621150038</t>
  </si>
  <si>
    <t>Servicio: Revisisón general
Falla informada: Estaba soldando y se apago el equipo</t>
  </si>
  <si>
    <t xml:space="preserve">Cable + enchufe </t>
  </si>
  <si>
    <t>VALMET</t>
  </si>
  <si>
    <t>Fuente de corriente AC/DC</t>
  </si>
  <si>
    <t xml:space="preserve">	MT63B11F115-2</t>
  </si>
  <si>
    <t xml:space="preserve">80657-06A-230204358	</t>
  </si>
  <si>
    <t>Cable + meneke rojo, grapa a tierra, antorcha (tobera, punta de contacto y difusor de gas), rollo de alambre</t>
  </si>
  <si>
    <t xml:space="preserve">	Servicio: Cambio de guías</t>
  </si>
  <si>
    <t>959-1</t>
  </si>
  <si>
    <t>959-2</t>
  </si>
  <si>
    <t>959-3</t>
  </si>
  <si>
    <t>MAQUINTEC PERU SAC</t>
  </si>
  <si>
    <t xml:space="preserve">16/8/2025	</t>
  </si>
  <si>
    <t>MJ204067U</t>
  </si>
  <si>
    <t>LG460203A</t>
  </si>
  <si>
    <t xml:space="preserve">Servicio: Calibración  y activación de VRD </t>
  </si>
  <si>
    <t>ARC-REACH SUIT CASE 12</t>
  </si>
  <si>
    <t>NB243012U</t>
  </si>
  <si>
    <t xml:space="preserve">Grapa a tierra, sin rodillos, sin rollo de alambre, cable de potencia, cable de control, seguro de antorcha sin pasador </t>
  </si>
  <si>
    <t>MF264081U</t>
  </si>
  <si>
    <t>Gedeam S.R.L.</t>
  </si>
  <si>
    <t xml:space="preserve">18/8/2025	</t>
  </si>
  <si>
    <t>MSP-100</t>
  </si>
  <si>
    <t>MSP20230001</t>
  </si>
  <si>
    <t>Sociedad Minera Virgen de Copacabana</t>
  </si>
  <si>
    <t xml:space="preserve">MILLER	</t>
  </si>
  <si>
    <t>ND264168U</t>
  </si>
  <si>
    <t xml:space="preserve">No regula	</t>
  </si>
  <si>
    <t>963-1</t>
  </si>
  <si>
    <t xml:space="preserve">ALTEMEC </t>
  </si>
  <si>
    <t xml:space="preserve">22/8/2025	</t>
  </si>
  <si>
    <t>LHN 240i plus</t>
  </si>
  <si>
    <t xml:space="preserve">Grapa a tierra, porta electrodo, cable + meneke azul </t>
  </si>
  <si>
    <t>964-1</t>
  </si>
  <si>
    <t>TALLERES CARRASCO</t>
  </si>
  <si>
    <t>I19470613</t>
  </si>
  <si>
    <t>Flujómetro +cable, antorcha con consumibles completos, rollo de alambre, grapa con cables expuestos</t>
  </si>
  <si>
    <t>Grupo Construcciones y Servicios Multiples S.a.C</t>
  </si>
  <si>
    <t xml:space="preserve">23/8/2025	</t>
  </si>
  <si>
    <t xml:space="preserve">ESAB	</t>
  </si>
  <si>
    <t xml:space="preserve">Origo Arc 601i	</t>
  </si>
  <si>
    <t>965-1</t>
  </si>
  <si>
    <t>966-1</t>
  </si>
  <si>
    <t>966-2</t>
  </si>
  <si>
    <t>966-3</t>
  </si>
  <si>
    <t xml:space="preserve">25/8/2025	</t>
  </si>
  <si>
    <t xml:space="preserve">XMT 350 CC/CV	</t>
  </si>
  <si>
    <t>MJ204103U</t>
  </si>
  <si>
    <t xml:space="preserve">LF221910	</t>
  </si>
  <si>
    <t xml:space="preserve">LH400203A	</t>
  </si>
  <si>
    <t>967-1</t>
  </si>
  <si>
    <t xml:space="preserve">COMERSUR AREQUIPA S.A.C	</t>
  </si>
  <si>
    <t xml:space="preserve">26/8/2025	</t>
  </si>
  <si>
    <t xml:space="preserve">ROGUE ES 245i	</t>
  </si>
  <si>
    <t>HA44924520332</t>
  </si>
  <si>
    <t xml:space="preserve">Garantía ESAB	</t>
  </si>
  <si>
    <t>Porta electrodo, grapa a tierra, manual,caja y flujometro de argón</t>
  </si>
  <si>
    <t>968-1</t>
  </si>
  <si>
    <t xml:space="preserve">IMCO SERVICIOS SAC	</t>
  </si>
  <si>
    <t xml:space="preserve">LHN 242i	</t>
  </si>
  <si>
    <t>HA94621150243</t>
  </si>
  <si>
    <t>969-1</t>
  </si>
  <si>
    <t xml:space="preserve">	SUIT CASE XTREME 12 VS</t>
  </si>
  <si>
    <t>Rollo de alambre, grapa, cable de control y antorcha (punta de contacto, difusor de gas y tobera)</t>
  </si>
  <si>
    <t>970-1</t>
  </si>
  <si>
    <t>KEVIN AGUILAR</t>
  </si>
  <si>
    <t>HA02422500541</t>
  </si>
  <si>
    <t>CABLE + MENEKE AZUL</t>
  </si>
  <si>
    <t>Cable vulcanizado 3 x 14 AWG</t>
  </si>
  <si>
    <t>4 m.</t>
  </si>
  <si>
    <t>Cable de control para CNC</t>
  </si>
  <si>
    <t>Conectores de 12 pines (Hembra y macho)</t>
  </si>
  <si>
    <t>Motor reductor</t>
  </si>
  <si>
    <t>Adaptación para motor reductor</t>
  </si>
  <si>
    <t>Mantenimiento de eje x, eje y, eje z</t>
  </si>
  <si>
    <t>Mantenimiento de sistema eléctrico</t>
  </si>
  <si>
    <t>Puesta en marcha del equipo en las instalaciones del cliente </t>
  </si>
  <si>
    <t xml:space="preserve">RC ING. MECANICA E.I.R.L </t>
  </si>
  <si>
    <t>CROSSBOW HD</t>
  </si>
  <si>
    <t xml:space="preserve">	SKS- 2402009</t>
  </si>
  <si>
    <t xml:space="preserve">Motores del eje "x" y "y" no funcionan </t>
  </si>
  <si>
    <t xml:space="preserve">CABLE, ANTORCHA Y CABLE DE CONTROL </t>
  </si>
  <si>
    <t xml:space="preserve"> - No bota constante gas, bota soldadura blanca
- Pasa 5 s y no bota gas, chisporrotea
- Emite sonido y vibra</t>
  </si>
  <si>
    <t>Grapa a tierra, antorcha, manguera con flujómetro, rollo de alambre autoprotegido, 1 rodillo tubular, 2 puntas de contacto</t>
  </si>
  <si>
    <t xml:space="preserve">DCR MINERIA Y CONSTRUCCIÓN </t>
  </si>
  <si>
    <t xml:space="preserve">	RN - 400</t>
  </si>
  <si>
    <t>95646 - 1515</t>
  </si>
  <si>
    <t>Estaba soldando y se bajo la llave</t>
  </si>
  <si>
    <t xml:space="preserve">Cable, grapa a tierra, porta electrodo </t>
  </si>
  <si>
    <t>WARRIOR 350 MV CC/CV</t>
  </si>
  <si>
    <t>635- 717- 0006</t>
  </si>
  <si>
    <t xml:space="preserve">El equipo sonó y dejo de funcionar </t>
  </si>
  <si>
    <t>JOEL ISAAC MAMANI</t>
  </si>
  <si>
    <t xml:space="preserve">8/9/2025	</t>
  </si>
  <si>
    <t>HANDY PLASMA 45i</t>
  </si>
  <si>
    <t xml:space="preserve"> Dentro de la máquina hubo una pequeño sonido como si algo hubiera reventado</t>
  </si>
  <si>
    <t>976-1</t>
  </si>
  <si>
    <t>976-2</t>
  </si>
  <si>
    <t xml:space="preserve">Tiburcio Cascamayta </t>
  </si>
  <si>
    <t>ROGUE ES 305i</t>
  </si>
  <si>
    <t>HA43225130079</t>
  </si>
  <si>
    <t>HA43224520251</t>
  </si>
  <si>
    <t>PRESTAME SOLDEXA</t>
  </si>
  <si>
    <t xml:space="preserve">ACCESORIOS COMPLETOS EN CAJA </t>
  </si>
  <si>
    <t>LUIS HUMBERTO MUÑOZ MOTTA</t>
  </si>
  <si>
    <t xml:space="preserve">	ROGUE ET202iP</t>
  </si>
  <si>
    <t xml:space="preserve">HA02724460107	</t>
  </si>
  <si>
    <t>Cable + enchufe leviton, manguera, antorcha, consumibles, caja y tecnopor</t>
  </si>
  <si>
    <t xml:space="preserve">EDEMINC S.A.C </t>
  </si>
  <si>
    <t>RUSTLER EM300i</t>
  </si>
  <si>
    <t>HA23024010023</t>
  </si>
  <si>
    <t xml:space="preserve">Revisión General </t>
  </si>
  <si>
    <t xml:space="preserve">	Flujómetro, antorcha (tobera, punta de contacto y difusor de gas), cable + meneke rojo, rollo de alambre, rodillo de 0.8 - 1.0, grapa </t>
  </si>
  <si>
    <t>PROMAP</t>
  </si>
  <si>
    <t xml:space="preserve">	WARRIOR 500i CC/CV</t>
  </si>
  <si>
    <t>512- 112- 8525</t>
  </si>
  <si>
    <t xml:space="preserve">GEARTEC </t>
  </si>
  <si>
    <t>IDEALARC DC 400</t>
  </si>
  <si>
    <t>C1981100008</t>
  </si>
  <si>
    <t>Cable + meneke rojo, faltan 9 tornillos en tapas y 2 tornillos delanteros</t>
  </si>
  <si>
    <t>SOLDESP S.A.C.</t>
  </si>
  <si>
    <t>Cable + meneke azul, rodillo dentado, sin tapa de perilla</t>
  </si>
  <si>
    <t xml:space="preserve">RADIADORES AREQUIPA </t>
  </si>
  <si>
    <t>ANTORCHA</t>
  </si>
  <si>
    <t xml:space="preserve">Revisión General, Fuga de gas </t>
  </si>
  <si>
    <t>Cable de gatillo, tobera, difusor de gas y punta de contacto</t>
  </si>
  <si>
    <t>512-052-8324</t>
  </si>
  <si>
    <t>512-052-8318</t>
  </si>
  <si>
    <t>949-042-0515     </t>
  </si>
  <si>
    <t>70 Series</t>
  </si>
  <si>
    <t>MB260490U</t>
  </si>
  <si>
    <t>MG420560C</t>
  </si>
  <si>
    <t>BAUMEISTER PERÚ S.A.C.</t>
  </si>
  <si>
    <t>MJ170127R</t>
  </si>
  <si>
    <t>BIG BLUE 800 DUO AIR PAK</t>
  </si>
  <si>
    <t>EQUIPO INOPERATIVO</t>
  </si>
  <si>
    <t>Huaracha Welding</t>
  </si>
  <si>
    <t xml:space="preserve">	Fuente de 24V.</t>
  </si>
  <si>
    <t>Solo llega a 5V</t>
  </si>
  <si>
    <t>Corporación Rico S.A.C.</t>
  </si>
  <si>
    <t>LINCOLN E.</t>
  </si>
  <si>
    <t>Arcweld 200i</t>
  </si>
  <si>
    <t>Spray Master</t>
  </si>
  <si>
    <t xml:space="preserve">	Evaluar posibilidad de reparación</t>
  </si>
  <si>
    <t xml:space="preserve">Conector macho no conecta bien </t>
  </si>
  <si>
    <t>Alexis Ccallo Saico</t>
  </si>
  <si>
    <t xml:space="preserve">	CUTMASTER 40</t>
  </si>
  <si>
    <t>007-049-0039</t>
  </si>
  <si>
    <t>Aparecen errores T1 y T3</t>
  </si>
  <si>
    <t>Antorcha con consumibles, cable + adaptador de enchufe, grapa a tierra,
acople rápido macho de 1/4", consumibles de repuesto</t>
  </si>
  <si>
    <t>NA154108U</t>
  </si>
  <si>
    <t>949-050-0544</t>
  </si>
  <si>
    <t xml:space="preserve">PROYECTOS DE OPTIMIZACIÓN S.A. </t>
  </si>
  <si>
    <t>OP42225130143</t>
  </si>
  <si>
    <t xml:space="preserve">Problemas de soldadura </t>
  </si>
  <si>
    <t xml:space="preserve">JOEL CARITA SALCEDO </t>
  </si>
  <si>
    <t>HANDYPLASMA 45</t>
  </si>
  <si>
    <t>NO SALE EL AIRE</t>
  </si>
  <si>
    <t>993-1</t>
  </si>
  <si>
    <t>993-2</t>
  </si>
  <si>
    <t>993-3</t>
  </si>
  <si>
    <t>993-9</t>
  </si>
  <si>
    <t>993-8</t>
  </si>
  <si>
    <t>993-7</t>
  </si>
  <si>
    <t>993-6</t>
  </si>
  <si>
    <t>993-5</t>
  </si>
  <si>
    <t>993-4</t>
  </si>
  <si>
    <t xml:space="preserve">3/10/2025	</t>
  </si>
  <si>
    <t xml:space="preserve">	70 Series</t>
  </si>
  <si>
    <t xml:space="preserve">MG420560C	</t>
  </si>
  <si>
    <t>949-047-0535</t>
  </si>
  <si>
    <t xml:space="preserve">949-042-0515   </t>
  </si>
  <si>
    <t>Revisión General</t>
  </si>
  <si>
    <t>4 rodillos y cable de control</t>
  </si>
  <si>
    <t>0410 3808 1111 12VDC</t>
  </si>
  <si>
    <t>FERNANDEZ CUTIRE FREDY</t>
  </si>
  <si>
    <t>ROGUE ET 202ip</t>
  </si>
  <si>
    <t>HA02724260441</t>
  </si>
  <si>
    <t>Antorcha con consumibles, flujómetro con cable,
 cable + enchufe</t>
  </si>
  <si>
    <t>SERGIO RAMOS</t>
  </si>
  <si>
    <t xml:space="preserve">HA02721100072	</t>
  </si>
  <si>
    <t>NO HACE ARCO</t>
  </si>
  <si>
    <t xml:space="preserve">ANTORCHA CON CONSUMIBLES (SIN TUNGSTENO),
GRAPA A TIERRA, CABLE + ENCHUFE NEGRO </t>
  </si>
  <si>
    <t>997-1</t>
  </si>
  <si>
    <t>997-2</t>
  </si>
  <si>
    <t>SENATI</t>
  </si>
  <si>
    <t>FAST MIG 420 MV</t>
  </si>
  <si>
    <t>Flujómetro Ar, Manguera de gas, Porta electrodo, Grapa a tierra, Cable de Control y Potencia.</t>
  </si>
  <si>
    <t>Alambre sólido 0.8, 2 Rodillos sólidos 0.8, Antorcha completa</t>
  </si>
  <si>
    <t>998-1</t>
  </si>
  <si>
    <t>998-2</t>
  </si>
  <si>
    <t>DIMENSION 652</t>
  </si>
  <si>
    <t>MB080415A</t>
  </si>
  <si>
    <t>MA150353U</t>
  </si>
  <si>
    <t xml:space="preserve">Equipo inoperativo/ Presenta corto circuito </t>
  </si>
  <si>
    <t>ByH Cardenas</t>
  </si>
  <si>
    <t xml:space="preserve">	10/10/2025</t>
  </si>
  <si>
    <t>WARRIOR 500I</t>
  </si>
  <si>
    <t>512-229-0067</t>
  </si>
  <si>
    <t xml:space="preserve">Estaba trabajando, pero de un momento a otro se apagó </t>
  </si>
  <si>
    <t xml:space="preserve">Cable + meneke rojo, sin dos tapas de perillas </t>
  </si>
  <si>
    <t>DEMETRIO CRUZ CRUZ</t>
  </si>
  <si>
    <t xml:space="preserve">PRESENTA CABLES SUELTOS </t>
  </si>
  <si>
    <t>CON CONSUMIBLES (TOBERA, PUNTA DE CONTACTO Y DIFUSOR DE GAS)</t>
  </si>
  <si>
    <t>NUMERO DE SERIE</t>
  </si>
  <si>
    <t>ARTURO CARRILLO</t>
  </si>
  <si>
    <t xml:space="preserve">	RONCHWELD 240 MAX</t>
  </si>
  <si>
    <t xml:space="preserve">No está realizando arco </t>
  </si>
  <si>
    <t>1002-1</t>
  </si>
  <si>
    <t>1002-2</t>
  </si>
  <si>
    <t>METALEC &amp; GRUAS SRL</t>
  </si>
  <si>
    <t xml:space="preserve"> XMT 425 VS</t>
  </si>
  <si>
    <t xml:space="preserve">MH514084U	</t>
  </si>
  <si>
    <t xml:space="preserve">U1091200751	</t>
  </si>
  <si>
    <t xml:space="preserve">CABLE + MENEKE NEGRO </t>
  </si>
  <si>
    <t xml:space="preserve">SOLDEX S.A. </t>
  </si>
  <si>
    <t>CM20180013</t>
  </si>
  <si>
    <t>2 rodillos</t>
  </si>
  <si>
    <t>Tecwel Sac</t>
  </si>
  <si>
    <t>719-219-2721</t>
  </si>
  <si>
    <t>Cable + menke rojo</t>
  </si>
  <si>
    <t>1005-1</t>
  </si>
  <si>
    <t>1005-2</t>
  </si>
  <si>
    <t xml:space="preserve">WARRIOR 500 CC/CV </t>
  </si>
  <si>
    <t xml:space="preserve">Garantía CABELAB </t>
  </si>
  <si>
    <t>CABLE + MENEKE ROJO</t>
  </si>
  <si>
    <t xml:space="preserve">CABLE, GRAPA, ANTORCHA CON CONSUMIBLES </t>
  </si>
  <si>
    <t>1006-1</t>
  </si>
  <si>
    <t>1006-2</t>
  </si>
  <si>
    <t>1006-3</t>
  </si>
  <si>
    <t xml:space="preserve">NOVA REPRESENTACIONES S.A. </t>
  </si>
  <si>
    <t>ROGUE ES305i</t>
  </si>
  <si>
    <t>HA43225130047</t>
  </si>
  <si>
    <t>HA43225130052</t>
  </si>
  <si>
    <t>HA43225130038</t>
  </si>
  <si>
    <t xml:space="preserve">Cable, poratelectrodo, garpa a tierra, manual, caja y bolsas </t>
  </si>
  <si>
    <t>Cable  + meneke azul</t>
  </si>
  <si>
    <t xml:space="preserve">CONVEYOR BELT TECHNOLOGY	</t>
  </si>
  <si>
    <t>VANTAGE
500 DEUTZ</t>
  </si>
  <si>
    <t>REEVALUACION</t>
  </si>
  <si>
    <t>TW GAS DIFFUSER HD54-16</t>
  </si>
  <si>
    <t>TW NOZZLE HD24L-62 5/8"</t>
  </si>
  <si>
    <t>TW TIP M400 1.2MM 14H-45</t>
  </si>
  <si>
    <t>TW LINER 1.2MM 25FT</t>
  </si>
  <si>
    <t>1/2 m</t>
  </si>
  <si>
    <t xml:space="preserve">cinta vulcanizada </t>
  </si>
  <si>
    <t>20 cm</t>
  </si>
  <si>
    <t>Termocontraible de 25 mm</t>
  </si>
  <si>
    <t xml:space="preserve">CONFIPETROL </t>
  </si>
  <si>
    <t>I21010355</t>
  </si>
  <si>
    <t>Grapa a tierra, antorcha con consumibles , cable + enchufe</t>
  </si>
  <si>
    <t xml:space="preserve">Mantenimiento </t>
  </si>
  <si>
    <t xml:space="preserve">FULL TERRA UMASI S.R.L. </t>
  </si>
  <si>
    <t xml:space="preserve">	LINCOLN E.</t>
  </si>
  <si>
    <t xml:space="preserve">	VANTAGE 500 (PERKINS)</t>
  </si>
  <si>
    <t>FEED L304</t>
  </si>
  <si>
    <t>236-839-8056</t>
  </si>
  <si>
    <t>EDEMINC</t>
  </si>
  <si>
    <t xml:space="preserve">	ANTORCHA</t>
  </si>
  <si>
    <t>No funciona el gatillo,
 no sale alambre</t>
  </si>
  <si>
    <t>1011-1</t>
  </si>
  <si>
    <t>1011-2</t>
  </si>
  <si>
    <t>ISC INGENIERIA DEL SUR S.A.C.</t>
  </si>
  <si>
    <t>WARRIOR 350i MV CC/CV</t>
  </si>
  <si>
    <t>635-940-0463</t>
  </si>
  <si>
    <t>916-925-0030</t>
  </si>
  <si>
    <t>LUIS ENRIQUE GUERRA DAZA</t>
  </si>
  <si>
    <t xml:space="preserve">	ET 200i AC/DC</t>
  </si>
  <si>
    <t>I235100325</t>
  </si>
  <si>
    <t>Cable + enchufe leviton, antorcha tig (con consumibles)</t>
  </si>
  <si>
    <t>JOSÉ LUIS CUSI ZOLOAGA</t>
  </si>
  <si>
    <t>SMASHWELD 300i</t>
  </si>
  <si>
    <t>HA81022400037</t>
  </si>
  <si>
    <t xml:space="preserve">Meneke rojo y azul, cable + 2 mennekes, antorcha (con consumibles), grapa a tierra </t>
  </si>
  <si>
    <t>1014-1</t>
  </si>
  <si>
    <t>1014-2</t>
  </si>
  <si>
    <t>1014-4</t>
  </si>
  <si>
    <t>1014-3</t>
  </si>
  <si>
    <t>CABLE DE CONTROL</t>
  </si>
  <si>
    <t>CABLE DE POTENCIA + CABLE DE CONTROL + MANGUERA,
 CONECTOR ROTO</t>
  </si>
  <si>
    <t xml:space="preserve">CABLE DE POTENCIA + CABLE DE CONTROL + MANGUERA </t>
  </si>
  <si>
    <t xml:space="preserve">RONALD LÁZARO </t>
  </si>
  <si>
    <t xml:space="preserve">Se ha quemado un diodo </t>
  </si>
  <si>
    <t>1016-1</t>
  </si>
  <si>
    <t>1016-2</t>
  </si>
  <si>
    <t>1016-3</t>
  </si>
  <si>
    <t>1016-10</t>
  </si>
  <si>
    <t>1016-9</t>
  </si>
  <si>
    <t>1016-8</t>
  </si>
  <si>
    <t>1016-7</t>
  </si>
  <si>
    <t>1016-6</t>
  </si>
  <si>
    <t>1016-5</t>
  </si>
  <si>
    <t>1016-4</t>
  </si>
  <si>
    <t>BAUMEISTER S.A.C.</t>
  </si>
  <si>
    <t>Big Blue 800 Duo Air Pak</t>
  </si>
  <si>
    <t>BIG BLUE AIR PACK</t>
  </si>
  <si>
    <t xml:space="preserve">XMT 450 CC/CV	</t>
  </si>
  <si>
    <t>ND051273R</t>
  </si>
  <si>
    <t>ND051333R</t>
  </si>
  <si>
    <t>MD300193E</t>
  </si>
  <si>
    <t xml:space="preserve">MMI-ZAM-MOT-010	</t>
  </si>
  <si>
    <t xml:space="preserve">NB472535U </t>
  </si>
  <si>
    <t xml:space="preserve">MJ082553U </t>
  </si>
  <si>
    <t>NB472533U</t>
  </si>
  <si>
    <t>NB472532U</t>
  </si>
  <si>
    <t>MH212549U</t>
  </si>
  <si>
    <t xml:space="preserve">NB472534U </t>
  </si>
  <si>
    <t xml:space="preserve">Revisión General 	</t>
  </si>
  <si>
    <t xml:space="preserve"> 2 acoples, cable , sin meneke</t>
  </si>
  <si>
    <t>2 acoples, sin tapa de procesos, cable, con meneke</t>
  </si>
  <si>
    <t>sin tapa de procesos, cable, sin meneke</t>
  </si>
  <si>
    <t>1 acople, sin meneke</t>
  </si>
  <si>
    <t xml:space="preserve"> 1 acople, cable, sin meneke</t>
  </si>
  <si>
    <t>1 acople, sin tapa de procesos, cable sin meneke</t>
  </si>
  <si>
    <t xml:space="preserve">1017-1	</t>
  </si>
  <si>
    <t xml:space="preserve">David Cutipa 	</t>
  </si>
  <si>
    <t xml:space="preserve">25/10/2025	</t>
  </si>
  <si>
    <t xml:space="preserve">RUSTLER EM 300i	</t>
  </si>
  <si>
    <t>HA23023210002</t>
  </si>
  <si>
    <t xml:space="preserve">ANTORCHA, GRAPA Y ROLLO DE ALAMBRE </t>
  </si>
  <si>
    <t xml:space="preserve">1018-1	</t>
  </si>
  <si>
    <t>1018-2</t>
  </si>
  <si>
    <t xml:space="preserve">30/10/2025	</t>
  </si>
  <si>
    <t>NB472535U</t>
  </si>
  <si>
    <t>MJ082553U</t>
  </si>
  <si>
    <t xml:space="preserve">1019-1	</t>
  </si>
  <si>
    <t xml:space="preserve">MICHEL VILCA QUISPE 	</t>
  </si>
  <si>
    <t xml:space="preserve">LHN 240i Plus	</t>
  </si>
  <si>
    <t xml:space="preserve">Revisión General 	Fallaba en el switch de encendido y apagado	</t>
  </si>
  <si>
    <t>7 tornillos y cable</t>
  </si>
  <si>
    <t>Irreparable</t>
  </si>
  <si>
    <t>1020-1</t>
  </si>
  <si>
    <t>1020-2</t>
  </si>
  <si>
    <t xml:space="preserve">	NBC-350</t>
  </si>
  <si>
    <t xml:space="preserve">	LD-10-500A</t>
  </si>
  <si>
    <t xml:space="preserve">	LD</t>
  </si>
  <si>
    <t>Mantenimiento de conectores dinse</t>
  </si>
  <si>
    <t>Antorcha, manguera, cables de control, rodillo</t>
  </si>
  <si>
    <t>1021-1</t>
  </si>
  <si>
    <t>1021-2</t>
  </si>
  <si>
    <t>1021-5</t>
  </si>
  <si>
    <t>1021-4</t>
  </si>
  <si>
    <t>1021-3</t>
  </si>
  <si>
    <t>Instituto de Educación Superior Tecnológico Público
 Honorio Delgado Espinoza</t>
  </si>
  <si>
    <t xml:space="preserve">DAF </t>
  </si>
  <si>
    <t>OERLIKON</t>
  </si>
  <si>
    <t xml:space="preserve">	TRUPER</t>
  </si>
  <si>
    <t xml:space="preserve">	OKAYAMA </t>
  </si>
  <si>
    <t xml:space="preserve">	DAF</t>
  </si>
  <si>
    <t>WELDPECK</t>
  </si>
  <si>
    <t>XTREME 450</t>
  </si>
  <si>
    <t>SUPERTIG 180 AC/DC</t>
  </si>
  <si>
    <t>MIG/MAG 250T</t>
  </si>
  <si>
    <t>TIG- 250</t>
  </si>
  <si>
    <t>SB-10-500</t>
  </si>
  <si>
    <t>ARC 250</t>
  </si>
  <si>
    <t>E0000097814</t>
  </si>
  <si>
    <t>GB15579.1-2004</t>
  </si>
  <si>
    <t xml:space="preserve">No revisar, tener guardado para su entrega </t>
  </si>
  <si>
    <t>RUSTLER 455i</t>
  </si>
  <si>
    <t xml:space="preserve">Perilla de amperaje dura </t>
  </si>
  <si>
    <t>FLORENCIO PANIURA</t>
  </si>
  <si>
    <t>R-330 DC</t>
  </si>
  <si>
    <t>246710-3943</t>
  </si>
  <si>
    <t>PENDIENTE DE APROBACION preliminar</t>
  </si>
  <si>
    <t xml:space="preserve">COLQUE SASARI YONNY SIMEON   </t>
  </si>
  <si>
    <t>BUDDY TIG 200 HF</t>
  </si>
  <si>
    <r>
      <t>GARANTIA ESAB</t>
    </r>
    <r>
      <rPr>
        <sz val="9"/>
        <color rgb="FF222222"/>
        <rFont val="Calibri"/>
        <family val="2"/>
      </rPr>
      <t>: No enciende</t>
    </r>
  </si>
  <si>
    <r>
      <t>GARANTIA ESAB</t>
    </r>
    <r>
      <rPr>
        <sz val="9"/>
        <color rgb="FF222222"/>
        <rFont val="Calibri"/>
        <family val="2"/>
      </rPr>
      <t>: NE</t>
    </r>
  </si>
  <si>
    <r>
      <t>GARANTIA ESAB:</t>
    </r>
    <r>
      <rPr>
        <sz val="9"/>
        <color rgb="FF222222"/>
        <rFont val="Calibri"/>
        <family val="2"/>
      </rPr>
      <t> Recalienta, no enciende ventilador, presenta error en panel</t>
    </r>
  </si>
  <si>
    <r>
      <t>GARANTIA CABELAB:</t>
    </r>
    <r>
      <rPr>
        <sz val="9"/>
        <color rgb="FF222222"/>
        <rFont val="Calibri"/>
        <family val="2"/>
      </rPr>
      <t> Parpadea la pantalla</t>
    </r>
  </si>
  <si>
    <r>
      <t>GARANTÍA ESAB:</t>
    </r>
    <r>
      <rPr>
        <sz val="11"/>
        <color rgb="FF000000"/>
        <rFont val="Calibri"/>
        <family val="2"/>
      </rPr>
      <t> Enciende pero no suelda.</t>
    </r>
  </si>
  <si>
    <r>
      <t>GARANTÍA ESAB</t>
    </r>
    <r>
      <rPr>
        <sz val="9"/>
        <color rgb="FF222222"/>
        <rFont val="Calibri"/>
        <family val="2"/>
      </rPr>
      <t>: No protege, parpadea.</t>
    </r>
  </si>
  <si>
    <r>
      <t>CST 280</t>
    </r>
    <r>
      <rPr>
        <sz val="12"/>
        <color rgb="FF222222"/>
        <rFont val="Arial"/>
        <family val="2"/>
      </rPr>
      <t> </t>
    </r>
  </si>
  <si>
    <r>
      <t>C</t>
    </r>
    <r>
      <rPr>
        <sz val="11"/>
        <color theme="1"/>
        <rFont val="Bahnschrift Condensed"/>
        <family val="2"/>
      </rPr>
      <t>UTMASTER A120</t>
    </r>
    <r>
      <rPr>
        <b/>
        <sz val="11"/>
        <color theme="1"/>
        <rFont val="Bahnschrift Condensed"/>
        <family val="2"/>
      </rPr>
      <t xml:space="preserve">	</t>
    </r>
  </si>
  <si>
    <t>No hace arco</t>
  </si>
  <si>
    <t xml:space="preserve">	Cable + enchufe negro</t>
  </si>
  <si>
    <t xml:space="preserve">QUISPE MAMANI VITALIANO MOISES </t>
  </si>
  <si>
    <t>LHN 240i Plus</t>
  </si>
  <si>
    <t xml:space="preserve">Hizo chispa en cable </t>
  </si>
  <si>
    <t xml:space="preserve">Cable + meneke azul, grapa a tierra, porta electrodo
Quedo atenta a sus comentarios. </t>
  </si>
  <si>
    <t>MOISÉS TORRES</t>
  </si>
  <si>
    <t>HANDY ARC 162i</t>
  </si>
  <si>
    <t>HA02421030048</t>
  </si>
  <si>
    <t>Salió fuego por la parte delantera del equipo</t>
  </si>
  <si>
    <t>OP11521230024</t>
  </si>
  <si>
    <t xml:space="preserve">Cable de potencia </t>
  </si>
  <si>
    <t>Ham Criogenica Peru S.a.C.</t>
  </si>
  <si>
    <t>STAYER WELDING</t>
  </si>
  <si>
    <t>TIG AC/DC 200</t>
  </si>
  <si>
    <t xml:space="preserve">No hace arco, no esta emitiendo el sonido que realizaba antes </t>
  </si>
  <si>
    <t>Antorcha tig sin capuchón, grapa a tierra, cable + enchufe negro</t>
  </si>
  <si>
    <t>1023-2</t>
  </si>
  <si>
    <t>1023-1</t>
  </si>
  <si>
    <t>Cartilla</t>
  </si>
  <si>
    <t>HA02424260163</t>
  </si>
  <si>
    <t>I21010399</t>
  </si>
  <si>
    <t>HANDY ARC MIG 160i</t>
  </si>
  <si>
    <t>CIRO GONZALO NEGRON CHAMBI</t>
  </si>
  <si>
    <t xml:space="preserve">Presenta fallas en el ventilador </t>
  </si>
  <si>
    <t>Cable + enchufe leviton</t>
  </si>
  <si>
    <t>1030-1</t>
  </si>
  <si>
    <t>1030-2</t>
  </si>
  <si>
    <t>1030-3</t>
  </si>
  <si>
    <t xml:space="preserve">JEMARYZ S.A.C. </t>
  </si>
  <si>
    <t xml:space="preserve">ALIENWELD </t>
  </si>
  <si>
    <t>XT -200R</t>
  </si>
  <si>
    <t xml:space="preserve">GC22422350100	</t>
  </si>
  <si>
    <t xml:space="preserve">MyN AQP </t>
  </si>
  <si>
    <t xml:space="preserve"> PERKINS </t>
  </si>
  <si>
    <t>U85186160</t>
  </si>
  <si>
    <t>8800-1011NEW18768791</t>
  </si>
  <si>
    <t>No esta saliendo el voltaje correspondiente</t>
  </si>
  <si>
    <t>DCR MINERIA Y CONSTRUCCIÓN S.A.C.</t>
  </si>
  <si>
    <t>POWERTEC 255C</t>
  </si>
  <si>
    <t>Presenta fuga de gas</t>
  </si>
  <si>
    <t>Cable + meneke rojo, antorcha con consumibles</t>
  </si>
  <si>
    <t>XPLOMINE SAC</t>
  </si>
  <si>
    <t>EW600DST</t>
  </si>
  <si>
    <t>Pierde potencia o continuidad de soldadura al soldar 7018</t>
  </si>
  <si>
    <t>Bateria, juego de llaves</t>
  </si>
  <si>
    <t>ORIGO ARC 3001i</t>
  </si>
  <si>
    <t>Cable + meneke rojo, cable de potencia azul</t>
  </si>
  <si>
    <t>INVERSIONES GLOBAL COMPANY ROUSVID S.A.C.</t>
  </si>
  <si>
    <t>HANDYTORCH 360</t>
  </si>
  <si>
    <t xml:space="preserve">El alambre se traba </t>
  </si>
  <si>
    <t xml:space="preserve">Cable + meneke azul
Quedo atenta a sus comentarios. </t>
  </si>
  <si>
    <t>STANDBY</t>
  </si>
  <si>
    <t>no cuenta con componentes y no existe informacion</t>
  </si>
  <si>
    <t>NUMERO DE PARTE</t>
  </si>
  <si>
    <t xml:space="preserve">DESCRIPCION REEMPLAZO </t>
  </si>
  <si>
    <t xml:space="preserve">REEMPLAZO </t>
  </si>
  <si>
    <t>LINK</t>
  </si>
  <si>
    <t xml:space="preserve">DESCRIPCION </t>
  </si>
  <si>
    <t xml:space="preserve">Diode, Rect 300 A 500v Do−9 (Reverse) Modified (Eff w/MA020206E) </t>
  </si>
  <si>
    <t xml:space="preserve">Diode, Rect 300 A 500v Do−9 (Straight) Modified (Eff w/MA020206E) </t>
  </si>
  <si>
    <t>DIODO RECTIFICADOR 600V 300A ANODO AL TORNILLO</t>
  </si>
  <si>
    <t>NTE Electronics NTE6356 RECTIFIER 600PRV 300A CATHODE CASE DO-9</t>
  </si>
  <si>
    <t>https://www.ebay.com/itm/254255785916</t>
  </si>
  <si>
    <t>https://agelectronica.com/detalle?busca=NTE+6357</t>
  </si>
  <si>
    <t>NTE 6357</t>
  </si>
  <si>
    <t>falta entregar repuestos</t>
  </si>
  <si>
    <t>N° serie</t>
  </si>
  <si>
    <t>OBSERVACION</t>
  </si>
  <si>
    <t>Operativo (con observaciones en el equipo)</t>
  </si>
  <si>
    <t>ENCARGADO</t>
  </si>
  <si>
    <t>LUNES 24 - 02:40:00</t>
  </si>
  <si>
    <t>HORA DE INICIO DIAGNOSTICO</t>
  </si>
  <si>
    <t>HORA DE INCIO MANTENIMIENTO</t>
  </si>
  <si>
    <t xml:space="preserve">OBSERVACIONES DIAGNOSTICO </t>
  </si>
  <si>
    <t>Retraso para revisar el ventilador de un equipo aprobado</t>
  </si>
  <si>
    <t>GERSSON</t>
  </si>
  <si>
    <t>SERGIO</t>
  </si>
  <si>
    <t>Estuve en campo probando la motosoldadora</t>
  </si>
  <si>
    <t>LUIS - SERGIO</t>
  </si>
  <si>
    <t>Carlos dejo listo el equipo para prueba y sergio realizo las pruebas con el alimentador del cliente</t>
  </si>
  <si>
    <t>CARLOS - SERGIO</t>
  </si>
  <si>
    <t xml:space="preserve">MARTES 25 - 08:00:00 </t>
  </si>
  <si>
    <t>MARTES 25 - 02:00:00</t>
  </si>
  <si>
    <t>El señor luchito avanzo con el mantenimiento toda la tarde y sergio lo termino al dia siguiente realizando pruebas de rendimiento.</t>
  </si>
  <si>
    <t>MIERCOLES 26 - 08:30:00</t>
  </si>
  <si>
    <t>1005-3</t>
  </si>
  <si>
    <t>15/0/2025</t>
  </si>
  <si>
    <t>ANTORCHA PLASMA</t>
  </si>
  <si>
    <t>consumibles completos</t>
  </si>
  <si>
    <t xml:space="preserve">Tuvo contacto con metales pesados </t>
  </si>
  <si>
    <t>Miercoles 26 - 14:30 hrs</t>
  </si>
  <si>
    <t>OBSERVACIONES DE MANTENIMIENTO</t>
  </si>
  <si>
    <t>ENCARGADO2</t>
  </si>
  <si>
    <t>234-1</t>
  </si>
  <si>
    <t>234-2</t>
  </si>
  <si>
    <t>234-4</t>
  </si>
  <si>
    <t>234-3</t>
  </si>
  <si>
    <t>LORENZO CCOSI</t>
  </si>
  <si>
    <t>HERMANA DE LORENZO CCOSI</t>
  </si>
  <si>
    <t>HANDY ARC 160i</t>
  </si>
  <si>
    <t>I17290150</t>
  </si>
  <si>
    <t>I17191332</t>
  </si>
  <si>
    <t>I17180355</t>
  </si>
  <si>
    <t>I17190278</t>
  </si>
  <si>
    <t>JUEVES 27 - 08:30:00</t>
  </si>
  <si>
    <t>CARLOS</t>
  </si>
  <si>
    <t>ESPERA DE TOÑO</t>
  </si>
  <si>
    <t>JUEVES 27 - 09:00:00</t>
  </si>
  <si>
    <t>falta de componentes para reparar las tarjetas , modificacion de informes , ayudar en almacen , enseñar a soldar a carlos y guiarlo en el diagnostico de los equipos</t>
  </si>
  <si>
    <t>termino a las 10 su informe pero sergio lo corrigio</t>
  </si>
  <si>
    <t>JUEVES 27 - 10:00:00</t>
  </si>
  <si>
    <t>Equipo en mal estado, reparacion de tarjeta y busqueda de pernos para la tarjeta</t>
  </si>
  <si>
    <t>No se encuentra en el almacen del area operativa</t>
  </si>
  <si>
    <t>diagnoostico de driver de la moto</t>
  </si>
  <si>
    <t>armar el alimentador L304</t>
  </si>
  <si>
    <t xml:space="preserve">revisar cable de potenciometro </t>
  </si>
  <si>
    <t>JUEVES 27 - 02:15:00</t>
  </si>
  <si>
    <t>JUEVES 27 - 15:00:00</t>
  </si>
  <si>
    <t>Se termino a las 4:50 pm , pero falta entrega de Respuestos</t>
  </si>
  <si>
    <t>ITEM</t>
  </si>
  <si>
    <t xml:space="preserve">SERIE </t>
  </si>
  <si>
    <t>REPUESTOS</t>
  </si>
  <si>
    <t>GC34824280482</t>
  </si>
  <si>
    <t>OPERATIVA</t>
  </si>
  <si>
    <t>---</t>
  </si>
  <si>
    <t xml:space="preserve">HANDY ARC 142I </t>
  </si>
  <si>
    <t>I20360301</t>
  </si>
  <si>
    <t>INOPERATIVA</t>
  </si>
  <si>
    <t xml:space="preserve">618755 - Tarjeta de control (HANDY ARC 142) </t>
  </si>
  <si>
    <t>Defectuosa,Pierde arco</t>
  </si>
  <si>
    <t>HANDY ARC MIG 160</t>
  </si>
  <si>
    <t>GC22422350043</t>
  </si>
  <si>
    <t xml:space="preserve">Rodillos 0.8 mm solido </t>
  </si>
  <si>
    <t>No tiene</t>
  </si>
  <si>
    <t>Perno seguro para rodillos</t>
  </si>
  <si>
    <t>ROGUE ET202iP</t>
  </si>
  <si>
    <t>HA02721180169</t>
  </si>
  <si>
    <t>619050-Perilla</t>
  </si>
  <si>
    <t>619034-PCB Inverter</t>
  </si>
  <si>
    <t>HA23024280100</t>
  </si>
  <si>
    <t>621154-PCB CONTROL</t>
  </si>
  <si>
    <t>BOTON PANEL FRONTAL (CONSULTAR)</t>
  </si>
  <si>
    <t>WARRIOR 350I MVCC/CV</t>
  </si>
  <si>
    <t>635-838-0292</t>
  </si>
  <si>
    <t>615148-ESAB CABLE POTIENTIOMETERS</t>
  </si>
  <si>
    <t>Prestamo a Promap</t>
  </si>
  <si>
    <t>ROBUST FEED AVS EURO</t>
  </si>
  <si>
    <t>OP22323140098</t>
  </si>
  <si>
    <t>TD CUTMASTER 42</t>
  </si>
  <si>
    <t>WT1942...162</t>
  </si>
  <si>
    <t>21KA202500054</t>
  </si>
  <si>
    <t>617650-ESAB FILTRO DE AIRE HP</t>
  </si>
  <si>
    <t>617656-ESAB SENSOR PRESION HP</t>
  </si>
  <si>
    <t>619163-ESAB TORCH HEAD HP45</t>
  </si>
  <si>
    <t>Dañada</t>
  </si>
  <si>
    <t>ANTORCHA TBI SR18V FX</t>
  </si>
  <si>
    <t>VIERNES 28 - 11:00:00</t>
  </si>
  <si>
    <t xml:space="preserve">SRA. HILDA </t>
  </si>
  <si>
    <t xml:space="preserve">	COMPACT MIG 215i</t>
  </si>
  <si>
    <t>GARANTIA CABELAB</t>
  </si>
  <si>
    <t>Grapa a tierra, antorcha con consumibles , cable + enchufe, rollo de alambre</t>
  </si>
  <si>
    <t>VIERNES 28 - 11:30:00</t>
  </si>
  <si>
    <t xml:space="preserve">HAM CRIOGENICA </t>
  </si>
  <si>
    <t>LHN 220i PLUS</t>
  </si>
  <si>
    <t xml:space="preserve">	Ha empezado a humear, anteriormente lo arregló SOLDEX S.A.</t>
  </si>
  <si>
    <t>Cable + enchufe, correa</t>
  </si>
  <si>
    <t>TRABAJO PARA SOLDEXA (WALTER)</t>
  </si>
  <si>
    <t>pruebas de soldadura hasta las 12:30 pm</t>
  </si>
  <si>
    <t>VIERNES 28 - 02:50:00</t>
  </si>
  <si>
    <t>VIERNES 28 - 02:00:00</t>
  </si>
  <si>
    <t>MMI-ZAM-MOT-010</t>
  </si>
  <si>
    <t>I15452067</t>
  </si>
  <si>
    <t>LUNES 01 - 09:00:00</t>
  </si>
  <si>
    <t>DICIEMBRE</t>
  </si>
  <si>
    <t>NOVIEMBRE</t>
  </si>
  <si>
    <t>LUNES 01 - 09:30:00</t>
  </si>
  <si>
    <t>LUNES 1 - 12:00:00</t>
  </si>
  <si>
    <t>LUNES 1 - 02:20:00</t>
  </si>
  <si>
    <t>LUNES 1 - 02:00:00</t>
  </si>
  <si>
    <t xml:space="preserve">MASERMIN S.A.C. 	</t>
  </si>
  <si>
    <t xml:space="preserve">1/12/2025	</t>
  </si>
  <si>
    <t xml:space="preserve">LHN 280i PLUS	</t>
  </si>
  <si>
    <t>HA91924250002</t>
  </si>
  <si>
    <t xml:space="preserve">SOLDEX S.A. 	</t>
  </si>
  <si>
    <t xml:space="preserve">Antorcha de corte plasma 	</t>
  </si>
  <si>
    <t xml:space="preserve">Con consumibles </t>
  </si>
  <si>
    <t>MARTES 2 - 09:00:00</t>
  </si>
  <si>
    <t>Se acabo el mantenimiento, pero aun queda pendiente la entrega de repuestos para realizar pruebas y tapar el equipo</t>
  </si>
  <si>
    <t>termine el mantenimiento a las 5 pm , queda pendiente terminar el pintado de tapas</t>
  </si>
  <si>
    <t>Prodise S.R.L.</t>
  </si>
  <si>
    <t xml:space="preserve">OP22323140068	</t>
  </si>
  <si>
    <t>En automático al colocar en velocidad 0, sigue girando y al
 colocarlo en manual al presionar avance no avanza</t>
  </si>
  <si>
    <t xml:space="preserve">Cable de potencia y manguera de gas </t>
  </si>
  <si>
    <t>LUNES 2 - 09:10:00</t>
  </si>
  <si>
    <t>MARTES  2 - 02:20:00</t>
  </si>
  <si>
    <t>MARTES 2 - 10:00:00</t>
  </si>
  <si>
    <t>MARTES 2 - 03:00:00</t>
  </si>
  <si>
    <t>retraso debido a que se dio mas prioridad a la maleta que ingreso por garantia.</t>
  </si>
  <si>
    <t>MANTENIMIENTO</t>
  </si>
  <si>
    <t>CARLOS -  SERGIO - GERSSON</t>
  </si>
  <si>
    <t>Retraso debido a mantenimientos y diagnosticos de urgencia</t>
  </si>
  <si>
    <t>LUIS - CARLOS</t>
  </si>
  <si>
    <t xml:space="preserve">Luis se encarga de la reparacion de tapa y calos del mantenimiento </t>
  </si>
  <si>
    <t>GONNI S.A.C</t>
  </si>
  <si>
    <t>RX-200</t>
  </si>
  <si>
    <t>366216-239</t>
  </si>
  <si>
    <t>No abrir el equipo, solo desea certificado de operatividad</t>
  </si>
  <si>
    <t xml:space="preserve">Grapa a tierra y porta electrodo </t>
  </si>
  <si>
    <t>Solo se realizo el certificado de operatividad</t>
  </si>
  <si>
    <t>JUEVES - 09:00:00</t>
  </si>
  <si>
    <t>1043-1</t>
  </si>
  <si>
    <t>1043-2</t>
  </si>
  <si>
    <t xml:space="preserve">WELDCOB PERU </t>
  </si>
  <si>
    <t>Revisión General 	No enciende el motor</t>
  </si>
  <si>
    <t>Revisión General 	Enciende pero no hay voltaje</t>
  </si>
  <si>
    <t>JUEVES 04 - 11:30:00</t>
  </si>
  <si>
    <t>1044-1</t>
  </si>
  <si>
    <t xml:space="preserve">QUISPE QUISPE BERNA             </t>
  </si>
  <si>
    <t>TRAIBLAZER 325</t>
  </si>
  <si>
    <t>ME132245R</t>
  </si>
  <si>
    <t xml:space="preserve">Revisión General Bajo su potencia, bajo en 0 su capacidad de soldar </t>
  </si>
  <si>
    <t>1045-1</t>
  </si>
  <si>
    <t>1045-2</t>
  </si>
  <si>
    <t>ZG1442409004</t>
  </si>
  <si>
    <t>ZG14424200038</t>
  </si>
  <si>
    <t>JUEVES 04 - 12:00:00</t>
  </si>
  <si>
    <t>Prioridad a las fabricator</t>
  </si>
  <si>
    <t>Tarjeta de control XMT 450</t>
  </si>
  <si>
    <t>Tarjeta de control 70 SERIES</t>
  </si>
  <si>
    <t>MG310502C</t>
  </si>
  <si>
    <t>1046-1</t>
  </si>
  <si>
    <t>1046-2</t>
  </si>
  <si>
    <t>1046-3</t>
  </si>
  <si>
    <t xml:space="preserve">SOLDESP S.A.C. </t>
  </si>
  <si>
    <t xml:space="preserve">HYPERTHEM </t>
  </si>
  <si>
    <t>POWERMAX 45</t>
  </si>
  <si>
    <t>IDEALARC DC600</t>
  </si>
  <si>
    <t>U1110308394</t>
  </si>
  <si>
    <t>Antorcha, cable + meneke azul y grapa a tierra</t>
  </si>
  <si>
    <t>espera de consumibles 10:16 am 06/12/2025</t>
  </si>
  <si>
    <t>se envia informe preliminar el 6/12/2025</t>
  </si>
  <si>
    <t>Falta entregar repuestos, mantenimiento en proceso, falta pintar tapas</t>
  </si>
  <si>
    <t>SABADO 6  - 08:00:00</t>
  </si>
  <si>
    <t>VIERNES 5 - 08:00:00</t>
  </si>
  <si>
    <t xml:space="preserve">LUIS </t>
  </si>
  <si>
    <t>Se acabo el mantenimiento con pruebas el dia martes a las 9:00, retraso en la entrega de repuestos</t>
  </si>
  <si>
    <t>VIERNES 05- 02:00:00</t>
  </si>
  <si>
    <t>VIERNES 05- 04:30:00</t>
  </si>
  <si>
    <t>VIERNES 05- 09:30:00</t>
  </si>
  <si>
    <t>CARLOS -LUIS</t>
  </si>
  <si>
    <t>GERSSON - SERGIO</t>
  </si>
  <si>
    <t>Armado de las motosoldadoras para devolucion</t>
  </si>
  <si>
    <t>ZELA QUECARA, DIEGO RENE</t>
  </si>
  <si>
    <t xml:space="preserve">HA94624460076	</t>
  </si>
  <si>
    <t>problemas en la soldadura</t>
  </si>
  <si>
    <t xml:space="preserve">Cable + meneke azul, grapa a tierra y porta electrodo </t>
  </si>
  <si>
    <t>VIERNES 10- 12:00:00</t>
  </si>
  <si>
    <t>se acabo el dia 10/12 , retraso por la entrega de repuestos</t>
  </si>
  <si>
    <t>MIERCOLES 10  - 02:00:00</t>
  </si>
  <si>
    <t>No tiene, visagra rota.</t>
  </si>
  <si>
    <t>ESAB PCBA BOARD CONTROL AVS - 619669</t>
  </si>
  <si>
    <t xml:space="preserve">KNOB (614184) - KNOB (614166)( x 3) </t>
  </si>
  <si>
    <t xml:space="preserve">PANEURA MERINO FLORENCIO  </t>
  </si>
  <si>
    <t xml:space="preserve">	R-330 </t>
  </si>
  <si>
    <t>270311-4814</t>
  </si>
  <si>
    <t>Salió humo del equipo</t>
  </si>
  <si>
    <t>VIERNES 11- 09:00:00</t>
  </si>
  <si>
    <t xml:space="preserve">	Cuando se ajusta la careta, funciona normal, pero al continuar utilizandola, el filtro se oscurece más de lo debido y dificulta la visibilidad</t>
  </si>
  <si>
    <t>VIERNES 11- 02:00:00</t>
  </si>
  <si>
    <t>MIERCOLES 10 - 09:00:00</t>
  </si>
  <si>
    <t>No cuenta con la tarjeta</t>
  </si>
  <si>
    <t>No tiene tarjeta de control, visagra rota.</t>
  </si>
  <si>
    <t>No tiene protector de pulsador</t>
  </si>
  <si>
    <t>Falta tapas de perillas en todas</t>
  </si>
  <si>
    <t>en mal estado (no hay control)</t>
  </si>
  <si>
    <t>1 m</t>
  </si>
  <si>
    <t>50 cm</t>
  </si>
  <si>
    <t>3mm</t>
  </si>
  <si>
    <t>5cm</t>
  </si>
  <si>
    <t>Se envio el informe preliminar el 12/12</t>
  </si>
  <si>
    <t>1050-1</t>
  </si>
  <si>
    <t>1050-2</t>
  </si>
  <si>
    <t xml:space="preserve">	12/12/2025</t>
  </si>
  <si>
    <t>ORIGO VAC PORTABLE FAN</t>
  </si>
  <si>
    <t xml:space="preserve">	34237004</t>
  </si>
  <si>
    <t xml:space="preserve">Manguera de extracción </t>
  </si>
  <si>
    <t>Limpieza de equipo y manguera</t>
  </si>
  <si>
    <t xml:space="preserve">Z3171028821	</t>
  </si>
  <si>
    <t>Cable + meneke azul, correa</t>
  </si>
  <si>
    <t>garantia cabelab</t>
  </si>
  <si>
    <t xml:space="preserve">EDM RAICE CLIMBER S.A.C. </t>
  </si>
  <si>
    <t>SPRAY MASTER 450</t>
  </si>
  <si>
    <t xml:space="preserve">cuello de ganzo, tobera, difusor y punta de contacto </t>
  </si>
  <si>
    <t xml:space="preserve">TIBURCIO CASCAMAYTA </t>
  </si>
  <si>
    <t>MIERCOLES 12  - 02:00:00</t>
  </si>
  <si>
    <t>MIERCOLES 12  - 12:00:00</t>
  </si>
  <si>
    <t>Pintado de tapa</t>
  </si>
  <si>
    <t>se encuentra oxidada</t>
  </si>
  <si>
    <t>se encuentra sucio</t>
  </si>
  <si>
    <t>Mantenimiento de filtro de aire</t>
  </si>
  <si>
    <t xml:space="preserve">tobera n°5 </t>
  </si>
  <si>
    <t>se encuentra usada y rota</t>
  </si>
  <si>
    <t>CG34925060283</t>
  </si>
  <si>
    <t>LUNES 15- 09:00:00</t>
  </si>
  <si>
    <t xml:space="preserve">RONALD CUTIPA HUARACHA </t>
  </si>
  <si>
    <t xml:space="preserve">Enciende pero no hace arco </t>
  </si>
  <si>
    <t xml:space="preserve">Correa, cable + enchufe leviton, caja </t>
  </si>
  <si>
    <t>SABADO 13  - 10:00:00</t>
  </si>
  <si>
    <t>VIERNES 09- 09:00:00</t>
  </si>
  <si>
    <t>APROBADO PRELIMINAR</t>
  </si>
  <si>
    <t>1055-1</t>
  </si>
  <si>
    <t>1055-2</t>
  </si>
  <si>
    <t xml:space="preserve">ALTEMEC S.A.C </t>
  </si>
  <si>
    <t>MARTES 16- 08:30:00</t>
  </si>
  <si>
    <t>RX 520</t>
  </si>
  <si>
    <t>M3120409163</t>
  </si>
  <si>
    <t>MARTES 16- 04:00:00</t>
  </si>
  <si>
    <t xml:space="preserve">MARIO RAMOS VILCA </t>
  </si>
  <si>
    <t>HANDY ARC 160</t>
  </si>
  <si>
    <t>VENTILADOR CON ASPAS ROTAS</t>
  </si>
  <si>
    <t xml:space="preserve">CABLE + ENCHUFE </t>
  </si>
  <si>
    <t>MIERCOLES 17- 09:00:00</t>
  </si>
  <si>
    <t>MARTES 16  - 02:00:00</t>
  </si>
  <si>
    <t>Retraso por ayudar a buscar maquinas en almacen</t>
  </si>
  <si>
    <t>TALLER MECANICO</t>
  </si>
  <si>
    <t>LHN 240i</t>
  </si>
  <si>
    <t>SRH - 503</t>
  </si>
  <si>
    <t>R3R - 500</t>
  </si>
  <si>
    <t>Vantage 500</t>
  </si>
  <si>
    <t>I18430235</t>
  </si>
  <si>
    <t>AC684493</t>
  </si>
  <si>
    <t>LC076341</t>
  </si>
  <si>
    <t>U1021000291</t>
  </si>
  <si>
    <t>U104040184</t>
  </si>
  <si>
    <t>verificar que componentes o tarjetas les faltan</t>
  </si>
  <si>
    <t xml:space="preserve">no falta nada </t>
  </si>
  <si>
    <t>Completo</t>
  </si>
  <si>
    <t>falta tarjeta de control</t>
  </si>
  <si>
    <t>no tiene prensa estopa , amperimetro roto (se realizo el cambio con el de otro equipo)</t>
  </si>
  <si>
    <t>INFORME</t>
  </si>
  <si>
    <t>N° SERIE</t>
  </si>
  <si>
    <t>No se encuentra en el local</t>
  </si>
  <si>
    <t>no se encuentra en el local</t>
  </si>
  <si>
    <t xml:space="preserve">REVISION </t>
  </si>
  <si>
    <t>J.G.L. INGENIEROS CONSULTORES Y CONSTRUCTORES E.I.R.L.</t>
  </si>
  <si>
    <t>espera de pruebas de equipo de otro cliente y tarjeta de segunda</t>
  </si>
  <si>
    <t>EUSTAQUIO JACINTO MAMANI</t>
  </si>
  <si>
    <t xml:space="preserve">	HA02024490341</t>
  </si>
  <si>
    <t xml:space="preserve">	cable, grapa, porta electrodo, correa, caja y manual</t>
  </si>
  <si>
    <t>JUEVES 18- 10:00:00</t>
  </si>
  <si>
    <t>MIERCOLES 17-02:00:00</t>
  </si>
  <si>
    <t>JUEVES 18- 08:00:00</t>
  </si>
  <si>
    <t>JUEVES 18- 04:00:00</t>
  </si>
  <si>
    <t xml:space="preserve">Smart Soluciones Integrales E.I.R.L. </t>
  </si>
  <si>
    <t xml:space="preserve">	HA94621030160</t>
  </si>
  <si>
    <t xml:space="preserve">Interrupción en el arco, perilla suelta </t>
  </si>
  <si>
    <t>Grapa a tierra, Porta electrod, Cable + meneke azul</t>
  </si>
  <si>
    <t>VIERNES 19- 02:00:00</t>
  </si>
  <si>
    <t>RUSTLER 300i</t>
  </si>
  <si>
    <t xml:space="preserve">HA23024080213	</t>
  </si>
  <si>
    <t>ROMEL MAQUINARIAS E.I.R.L..</t>
  </si>
  <si>
    <t>ERROR 002</t>
  </si>
  <si>
    <t xml:space="preserve">Manguera y cable </t>
  </si>
  <si>
    <t>SABADO 20- 09:00:00</t>
  </si>
  <si>
    <t>SABADO 20- 10:30:00</t>
  </si>
  <si>
    <t>SABADO 20 - 09:30:00</t>
  </si>
  <si>
    <t>1062-1</t>
  </si>
  <si>
    <t>1062-2</t>
  </si>
  <si>
    <t xml:space="preserve">ALTEMEC S.A.C. </t>
  </si>
  <si>
    <t>MARTES 29 - 08:30:00</t>
  </si>
  <si>
    <t>1063-1</t>
  </si>
  <si>
    <t>1063-2</t>
  </si>
  <si>
    <t>SMART SOLUCIONES INTEGRALES E.I.R.L.</t>
  </si>
  <si>
    <t>S1916110002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</si>
</sst>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Bahnschrift Condensed"/>
      <family val="2"/>
    </font>
    <font>
      <b/>
      <sz val="11"/>
      <color theme="1"/>
      <name val="Bahnschrift Condensed"/>
      <family val="2"/>
    </font>
    <font>
      <sz val="11"/>
      <color rgb="FF000000"/>
      <name val="Bahnschrift Condensed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Teko"/>
    </font>
    <font>
      <sz val="11"/>
      <color theme="1"/>
      <name val="Bahnschrift Condensed"/>
      <family val="2"/>
    </font>
    <font>
      <sz val="8"/>
      <name val="Calibri"/>
      <family val="2"/>
      <scheme val="minor"/>
    </font>
    <font>
      <sz val="11"/>
      <name val="Bahnschrift Condensed"/>
      <family val="2"/>
    </font>
    <font>
      <b/>
      <sz val="18"/>
      <color theme="1"/>
      <name val="Bahnschrift Condensed"/>
      <family val="2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b/>
      <sz val="12"/>
      <color rgb="FF222222"/>
      <name val="Calibri"/>
      <family val="2"/>
    </font>
    <font>
      <sz val="12"/>
      <color rgb="FF222222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sz val="9"/>
      <color rgb="FF222222"/>
      <name val="Calibri"/>
      <family val="2"/>
    </font>
    <font>
      <sz val="12"/>
      <color rgb="FF222222"/>
      <name val="Arial"/>
      <family val="2"/>
    </font>
    <font>
      <sz val="11"/>
      <color rgb="FFFF0000"/>
      <name val="Bahnschrift Condensed"/>
      <family val="2"/>
    </font>
    <font>
      <b/>
      <sz val="11"/>
      <color theme="1"/>
      <name val="Bahnschrift Condensed"/>
      <family val="2"/>
    </font>
    <font>
      <sz val="11"/>
      <color rgb="FF000000"/>
      <name val="Bahnschrift Condensed"/>
      <family val="2"/>
    </font>
    <font>
      <sz val="10"/>
      <color rgb="FF000000"/>
      <name val="Bahnschrift Condensed"/>
      <family val="2"/>
    </font>
    <font>
      <sz val="11"/>
      <color rgb="FF222222"/>
      <name val="Bahnschrift SemiBold Condensed"/>
      <family val="2"/>
    </font>
    <font>
      <u/>
      <sz val="11"/>
      <color theme="10"/>
      <name val="Calibri"/>
      <family val="2"/>
      <scheme val="minor"/>
    </font>
    <font>
      <b/>
      <sz val="11"/>
      <name val="Bahnschrift Condensed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rgb="FFB4C6E7"/>
        <bgColor rgb="FFB4C6E7"/>
      </patternFill>
    </fill>
    <fill>
      <patternFill patternType="solid">
        <fgColor rgb="FF00B050"/>
        <bgColor rgb="FFFFC000"/>
      </patternFill>
    </fill>
    <fill>
      <patternFill patternType="solid">
        <fgColor theme="0"/>
        <bgColor rgb="FFFFFF00"/>
      </patternFill>
    </fill>
    <fill>
      <patternFill patternType="solid">
        <fgColor rgb="FF00B050"/>
        <bgColor rgb="FFFF0000"/>
      </patternFill>
    </fill>
    <fill>
      <patternFill patternType="solid">
        <fgColor rgb="FFFFC00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DDEBF7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0" tint="-0.34998626667073579"/>
        <bgColor theme="0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485"/>
        <bgColor theme="0"/>
      </patternFill>
    </fill>
    <fill>
      <patternFill patternType="solid">
        <fgColor rgb="FFFF0066"/>
        <bgColor theme="0"/>
      </patternFill>
    </fill>
    <fill>
      <patternFill patternType="solid">
        <fgColor theme="2" tint="-0.14999847407452621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8" tint="0.39997558519241921"/>
        <bgColor theme="0"/>
      </patternFill>
    </fill>
    <fill>
      <patternFill patternType="solid">
        <fgColor rgb="FF00B050"/>
        <bgColor theme="0"/>
      </patternFill>
    </fill>
    <fill>
      <patternFill patternType="solid">
        <fgColor rgb="FF7030A0"/>
        <bgColor theme="0"/>
      </patternFill>
    </fill>
    <fill>
      <patternFill patternType="solid">
        <fgColor rgb="FFD6DCE4"/>
        <bgColor indexed="64"/>
      </patternFill>
    </fill>
    <fill>
      <patternFill patternType="solid">
        <fgColor rgb="FF00B0F0"/>
        <bgColor theme="0"/>
      </patternFill>
    </fill>
    <fill>
      <patternFill patternType="solid">
        <fgColor theme="4" tint="0.59999389629810485"/>
        <bgColor theme="0"/>
      </patternFill>
    </fill>
  </fills>
  <borders count="5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236">
    <xf numFmtId="0" fontId="0" fillId="0" borderId="0" xfId="0" applyFont="1" applyAlignment="1"/>
    <xf numFmtId="0" fontId="7" fillId="0" borderId="0" xfId="0" applyFont="1" applyAlignment="1">
      <alignment horizont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left" vertical="center" wrapText="1"/>
    </xf>
    <xf numFmtId="14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11" xfId="0" applyFont="1" applyBorder="1"/>
    <xf numFmtId="0" fontId="8" fillId="0" borderId="5" xfId="0" applyFont="1" applyBorder="1" applyAlignment="1">
      <alignment horizontal="left"/>
    </xf>
    <xf numFmtId="0" fontId="7" fillId="0" borderId="5" xfId="0" applyFont="1" applyBorder="1"/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8" fillId="0" borderId="28" xfId="0" applyFont="1" applyBorder="1"/>
    <xf numFmtId="0" fontId="8" fillId="0" borderId="30" xfId="0" applyFont="1" applyBorder="1"/>
    <xf numFmtId="0" fontId="8" fillId="0" borderId="30" xfId="0" applyFont="1" applyBorder="1" applyAlignment="1">
      <alignment horizontal="left"/>
    </xf>
    <xf numFmtId="0" fontId="8" fillId="0" borderId="32" xfId="0" applyFont="1" applyBorder="1"/>
    <xf numFmtId="0" fontId="8" fillId="0" borderId="34" xfId="0" applyFont="1" applyBorder="1"/>
    <xf numFmtId="0" fontId="8" fillId="0" borderId="30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11" fillId="11" borderId="5" xfId="0" applyFont="1" applyFill="1" applyBorder="1"/>
    <xf numFmtId="0" fontId="11" fillId="11" borderId="10" xfId="0" applyFont="1" applyFill="1" applyBorder="1"/>
    <xf numFmtId="164" fontId="13" fillId="0" borderId="5" xfId="0" applyNumberFormat="1" applyFont="1" applyBorder="1" applyAlignment="1">
      <alignment horizontal="left"/>
    </xf>
    <xf numFmtId="0" fontId="8" fillId="0" borderId="2" xfId="0" applyFont="1" applyBorder="1"/>
    <xf numFmtId="0" fontId="8" fillId="0" borderId="5" xfId="0" applyFont="1" applyBorder="1"/>
    <xf numFmtId="164" fontId="13" fillId="0" borderId="5" xfId="0" applyNumberFormat="1" applyFont="1" applyBorder="1" applyAlignment="1">
      <alignment horizontal="left" vertical="center" wrapText="1"/>
    </xf>
    <xf numFmtId="0" fontId="10" fillId="0" borderId="5" xfId="0" applyFont="1" applyBorder="1"/>
    <xf numFmtId="0" fontId="8" fillId="0" borderId="5" xfId="0" applyFont="1" applyBorder="1" applyAlignment="1">
      <alignment wrapText="1"/>
    </xf>
    <xf numFmtId="0" fontId="10" fillId="0" borderId="5" xfId="0" applyFont="1" applyBorder="1" applyAlignment="1">
      <alignment horizontal="left"/>
    </xf>
    <xf numFmtId="0" fontId="7" fillId="0" borderId="5" xfId="0" applyFont="1" applyBorder="1" applyAlignment="1">
      <alignment wrapText="1"/>
    </xf>
    <xf numFmtId="164" fontId="13" fillId="8" borderId="5" xfId="0" applyNumberFormat="1" applyFont="1" applyFill="1" applyBorder="1" applyAlignment="1">
      <alignment horizontal="left"/>
    </xf>
    <xf numFmtId="0" fontId="8" fillId="8" borderId="7" xfId="0" applyFont="1" applyFill="1" applyBorder="1"/>
    <xf numFmtId="0" fontId="8" fillId="8" borderId="5" xfId="0" applyFont="1" applyFill="1" applyBorder="1"/>
    <xf numFmtId="0" fontId="14" fillId="3" borderId="5" xfId="0" applyFont="1" applyFill="1" applyBorder="1" applyAlignment="1">
      <alignment horizontal="left" vertical="center" wrapText="1"/>
    </xf>
    <xf numFmtId="164" fontId="14" fillId="3" borderId="5" xfId="0" applyNumberFormat="1" applyFont="1" applyFill="1" applyBorder="1" applyAlignment="1">
      <alignment horizontal="left" vertical="top" wrapText="1"/>
    </xf>
    <xf numFmtId="0" fontId="14" fillId="3" borderId="5" xfId="0" applyFont="1" applyFill="1" applyBorder="1" applyAlignment="1">
      <alignment horizontal="left" vertical="center"/>
    </xf>
    <xf numFmtId="0" fontId="14" fillId="3" borderId="5" xfId="0" applyFont="1" applyFill="1" applyBorder="1" applyAlignment="1">
      <alignment horizontal="left" vertical="top" wrapText="1"/>
    </xf>
    <xf numFmtId="0" fontId="16" fillId="0" borderId="5" xfId="0" applyFont="1" applyFill="1" applyBorder="1" applyAlignment="1">
      <alignment horizontal="left" vertical="center" wrapText="1"/>
    </xf>
    <xf numFmtId="0" fontId="14" fillId="0" borderId="28" xfId="0" applyFont="1" applyBorder="1"/>
    <xf numFmtId="0" fontId="14" fillId="3" borderId="5" xfId="0" quotePrefix="1" applyFont="1" applyFill="1" applyBorder="1" applyAlignment="1">
      <alignment horizontal="left" vertical="center" wrapText="1"/>
    </xf>
    <xf numFmtId="14" fontId="14" fillId="3" borderId="5" xfId="0" applyNumberFormat="1" applyFont="1" applyFill="1" applyBorder="1" applyAlignment="1">
      <alignment horizontal="left" vertical="center" wrapText="1"/>
    </xf>
    <xf numFmtId="0" fontId="19" fillId="16" borderId="39" xfId="0" applyFont="1" applyFill="1" applyBorder="1" applyAlignment="1">
      <alignment horizontal="center" vertical="center" wrapText="1"/>
    </xf>
    <xf numFmtId="0" fontId="21" fillId="16" borderId="40" xfId="0" applyFont="1" applyFill="1" applyBorder="1" applyAlignment="1">
      <alignment horizontal="center" vertical="center" wrapText="1"/>
    </xf>
    <xf numFmtId="0" fontId="19" fillId="16" borderId="40" xfId="0" applyFont="1" applyFill="1" applyBorder="1" applyAlignment="1">
      <alignment horizontal="center" vertical="center" wrapText="1"/>
    </xf>
    <xf numFmtId="0" fontId="20" fillId="16" borderId="39" xfId="0" applyFont="1" applyFill="1" applyBorder="1" applyAlignment="1">
      <alignment horizontal="center" vertical="center" wrapText="1"/>
    </xf>
    <xf numFmtId="0" fontId="20" fillId="16" borderId="40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left" vertical="center" wrapText="1"/>
    </xf>
    <xf numFmtId="0" fontId="22" fillId="0" borderId="44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vertical="center" wrapText="1"/>
    </xf>
    <xf numFmtId="0" fontId="23" fillId="18" borderId="45" xfId="0" applyFont="1" applyFill="1" applyBorder="1" applyAlignment="1">
      <alignment horizontal="center" wrapText="1"/>
    </xf>
    <xf numFmtId="0" fontId="23" fillId="16" borderId="45" xfId="0" applyFont="1" applyFill="1" applyBorder="1" applyAlignment="1">
      <alignment horizontal="center" vertical="center" wrapText="1"/>
    </xf>
    <xf numFmtId="14" fontId="23" fillId="18" borderId="45" xfId="0" applyNumberFormat="1" applyFont="1" applyFill="1" applyBorder="1" applyAlignment="1">
      <alignment horizontal="center" vertical="center" wrapText="1"/>
    </xf>
    <xf numFmtId="0" fontId="23" fillId="18" borderId="46" xfId="0" applyFont="1" applyFill="1" applyBorder="1" applyAlignment="1">
      <alignment horizontal="center" wrapText="1"/>
    </xf>
    <xf numFmtId="0" fontId="23" fillId="16" borderId="46" xfId="0" applyFont="1" applyFill="1" applyBorder="1" applyAlignment="1">
      <alignment horizontal="center" vertical="center" wrapText="1"/>
    </xf>
    <xf numFmtId="14" fontId="23" fillId="18" borderId="46" xfId="0" applyNumberFormat="1" applyFont="1" applyFill="1" applyBorder="1" applyAlignment="1">
      <alignment horizontal="center" vertical="center" wrapText="1"/>
    </xf>
    <xf numFmtId="0" fontId="23" fillId="18" borderId="46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/>
    </xf>
    <xf numFmtId="0" fontId="0" fillId="0" borderId="44" xfId="0" applyFont="1" applyBorder="1" applyAlignment="1">
      <alignment vertical="center"/>
    </xf>
    <xf numFmtId="0" fontId="19" fillId="16" borderId="47" xfId="0" applyFont="1" applyFill="1" applyBorder="1" applyAlignment="1">
      <alignment horizontal="center" vertical="center" wrapText="1"/>
    </xf>
    <xf numFmtId="0" fontId="0" fillId="0" borderId="48" xfId="0" applyFont="1" applyBorder="1" applyAlignment="1">
      <alignment vertical="center"/>
    </xf>
    <xf numFmtId="0" fontId="0" fillId="0" borderId="38" xfId="0" applyFont="1" applyBorder="1" applyAlignment="1"/>
    <xf numFmtId="0" fontId="0" fillId="0" borderId="49" xfId="0" applyFont="1" applyBorder="1" applyAlignment="1">
      <alignment horizontal="center" vertical="center"/>
    </xf>
    <xf numFmtId="0" fontId="14" fillId="20" borderId="5" xfId="0" applyFont="1" applyFill="1" applyBorder="1" applyAlignment="1">
      <alignment horizontal="left" vertical="center" wrapText="1"/>
    </xf>
    <xf numFmtId="16" fontId="21" fillId="16" borderId="40" xfId="0" applyNumberFormat="1" applyFont="1" applyFill="1" applyBorder="1" applyAlignment="1">
      <alignment horizontal="center" vertical="center" wrapText="1"/>
    </xf>
    <xf numFmtId="0" fontId="22" fillId="0" borderId="0" xfId="0" applyFont="1" applyAlignment="1"/>
    <xf numFmtId="0" fontId="23" fillId="21" borderId="50" xfId="0" applyFont="1" applyFill="1" applyBorder="1" applyAlignment="1">
      <alignment horizontal="center" vertical="center" wrapText="1"/>
    </xf>
    <xf numFmtId="0" fontId="23" fillId="16" borderId="50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left" vertical="center" wrapText="1"/>
    </xf>
    <xf numFmtId="0" fontId="14" fillId="3" borderId="23" xfId="0" applyFont="1" applyFill="1" applyBorder="1" applyAlignment="1">
      <alignment horizontal="left" vertical="center" wrapText="1"/>
    </xf>
    <xf numFmtId="0" fontId="14" fillId="7" borderId="5" xfId="0" applyFont="1" applyFill="1" applyBorder="1" applyAlignment="1">
      <alignment horizontal="left" vertical="center" wrapText="1"/>
    </xf>
    <xf numFmtId="0" fontId="3" fillId="0" borderId="0" xfId="0" applyFont="1" applyBorder="1" applyAlignment="1"/>
    <xf numFmtId="0" fontId="14" fillId="12" borderId="5" xfId="0" applyFont="1" applyFill="1" applyBorder="1" applyAlignment="1">
      <alignment horizontal="left" vertical="center" wrapText="1"/>
    </xf>
    <xf numFmtId="0" fontId="14" fillId="6" borderId="5" xfId="0" applyFont="1" applyFill="1" applyBorder="1" applyAlignment="1">
      <alignment horizontal="left" vertical="center"/>
    </xf>
    <xf numFmtId="164" fontId="14" fillId="3" borderId="5" xfId="0" applyNumberFormat="1" applyFont="1" applyFill="1" applyBorder="1" applyAlignment="1">
      <alignment horizontal="left" vertical="center" wrapText="1"/>
    </xf>
    <xf numFmtId="0" fontId="14" fillId="0" borderId="0" xfId="0" applyFont="1" applyBorder="1"/>
    <xf numFmtId="0" fontId="24" fillId="13" borderId="6" xfId="0" applyFont="1" applyFill="1" applyBorder="1"/>
    <xf numFmtId="0" fontId="14" fillId="14" borderId="5" xfId="0" applyFont="1" applyFill="1" applyBorder="1" applyAlignment="1">
      <alignment horizontal="left" vertical="center" wrapText="1"/>
    </xf>
    <xf numFmtId="0" fontId="14" fillId="3" borderId="7" xfId="0" applyFont="1" applyFill="1" applyBorder="1" applyAlignment="1">
      <alignment horizontal="left" vertical="center" wrapText="1"/>
    </xf>
    <xf numFmtId="11" fontId="19" fillId="9" borderId="8" xfId="0" applyNumberFormat="1" applyFont="1" applyFill="1" applyBorder="1" applyAlignment="1">
      <alignment horizontal="left" vertical="center" wrapText="1"/>
    </xf>
    <xf numFmtId="0" fontId="14" fillId="8" borderId="5" xfId="0" applyFont="1" applyFill="1" applyBorder="1" applyAlignment="1">
      <alignment horizontal="left" vertical="center" wrapText="1"/>
    </xf>
    <xf numFmtId="0" fontId="14" fillId="13" borderId="5" xfId="0" applyFont="1" applyFill="1" applyBorder="1" applyAlignment="1">
      <alignment horizontal="left" vertical="center" wrapText="1"/>
    </xf>
    <xf numFmtId="0" fontId="14" fillId="17" borderId="5" xfId="0" applyFont="1" applyFill="1" applyBorder="1" applyAlignment="1">
      <alignment horizontal="left" vertical="center" wrapText="1"/>
    </xf>
    <xf numFmtId="0" fontId="14" fillId="15" borderId="5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left" vertical="center"/>
    </xf>
    <xf numFmtId="2" fontId="14" fillId="3" borderId="5" xfId="0" applyNumberFormat="1" applyFont="1" applyFill="1" applyBorder="1" applyAlignment="1">
      <alignment horizontal="left" vertical="center" wrapText="1"/>
    </xf>
    <xf numFmtId="164" fontId="14" fillId="3" borderId="5" xfId="0" applyNumberFormat="1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 wrapText="1"/>
    </xf>
    <xf numFmtId="0" fontId="14" fillId="3" borderId="9" xfId="0" applyFont="1" applyFill="1" applyBorder="1" applyAlignment="1">
      <alignment horizontal="left" vertical="center" wrapText="1"/>
    </xf>
    <xf numFmtId="0" fontId="14" fillId="3" borderId="12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14" fillId="3" borderId="13" xfId="0" applyFont="1" applyFill="1" applyBorder="1" applyAlignment="1">
      <alignment horizontal="left" vertical="center" wrapText="1"/>
    </xf>
    <xf numFmtId="0" fontId="14" fillId="3" borderId="14" xfId="0" applyFont="1" applyFill="1" applyBorder="1" applyAlignment="1">
      <alignment horizontal="left" vertical="center" wrapText="1"/>
    </xf>
    <xf numFmtId="0" fontId="14" fillId="3" borderId="15" xfId="0" applyFont="1" applyFill="1" applyBorder="1" applyAlignment="1">
      <alignment horizontal="left" vertical="center" wrapText="1"/>
    </xf>
    <xf numFmtId="0" fontId="14" fillId="3" borderId="14" xfId="0" applyFont="1" applyFill="1" applyBorder="1" applyAlignment="1">
      <alignment horizontal="left" vertical="top" wrapText="1"/>
    </xf>
    <xf numFmtId="0" fontId="14" fillId="3" borderId="16" xfId="0" applyFont="1" applyFill="1" applyBorder="1" applyAlignment="1">
      <alignment horizontal="left" vertical="center" wrapText="1"/>
    </xf>
    <xf numFmtId="0" fontId="14" fillId="3" borderId="16" xfId="0" applyFont="1" applyFill="1" applyBorder="1" applyAlignment="1">
      <alignment horizontal="left" vertical="top" wrapText="1"/>
    </xf>
    <xf numFmtId="0" fontId="14" fillId="5" borderId="10" xfId="0" applyFont="1" applyFill="1" applyBorder="1" applyAlignment="1">
      <alignment horizontal="left" vertical="center" wrapText="1"/>
    </xf>
    <xf numFmtId="0" fontId="14" fillId="3" borderId="10" xfId="0" applyFont="1" applyFill="1" applyBorder="1" applyAlignment="1">
      <alignment horizontal="left" vertical="center"/>
    </xf>
    <xf numFmtId="0" fontId="14" fillId="6" borderId="9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14" fillId="5" borderId="9" xfId="0" applyFont="1" applyFill="1" applyBorder="1" applyAlignment="1">
      <alignment horizontal="left" vertical="center" wrapText="1"/>
    </xf>
    <xf numFmtId="0" fontId="14" fillId="3" borderId="5" xfId="0" applyFont="1" applyFill="1" applyBorder="1" applyAlignment="1">
      <alignment vertical="top" wrapText="1"/>
    </xf>
    <xf numFmtId="0" fontId="14" fillId="0" borderId="5" xfId="0" applyFont="1" applyBorder="1" applyAlignment="1">
      <alignment horizontal="left" vertical="center" wrapText="1"/>
    </xf>
    <xf numFmtId="0" fontId="14" fillId="5" borderId="17" xfId="0" applyFont="1" applyFill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27" fillId="3" borderId="5" xfId="0" applyFont="1" applyFill="1" applyBorder="1" applyAlignment="1">
      <alignment horizontal="left" vertical="center" wrapText="1"/>
    </xf>
    <xf numFmtId="0" fontId="14" fillId="3" borderId="7" xfId="0" applyFont="1" applyFill="1" applyBorder="1" applyAlignment="1">
      <alignment vertical="center" wrapText="1"/>
    </xf>
    <xf numFmtId="0" fontId="27" fillId="3" borderId="5" xfId="0" applyFont="1" applyFill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3" borderId="7" xfId="0" applyFont="1" applyFill="1" applyBorder="1" applyAlignment="1">
      <alignment horizontal="left" vertical="center"/>
    </xf>
    <xf numFmtId="0" fontId="14" fillId="3" borderId="18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center"/>
    </xf>
    <xf numFmtId="0" fontId="28" fillId="3" borderId="5" xfId="0" applyFont="1" applyFill="1" applyBorder="1" applyAlignment="1">
      <alignment horizontal="left" vertical="center"/>
    </xf>
    <xf numFmtId="0" fontId="29" fillId="9" borderId="9" xfId="0" applyFont="1" applyFill="1" applyBorder="1" applyAlignment="1">
      <alignment horizontal="left" vertical="center" wrapText="1"/>
    </xf>
    <xf numFmtId="0" fontId="30" fillId="9" borderId="5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horizontal="left" vertical="center"/>
    </xf>
    <xf numFmtId="0" fontId="14" fillId="3" borderId="15" xfId="0" applyFont="1" applyFill="1" applyBorder="1" applyAlignment="1">
      <alignment horizontal="left" vertical="center"/>
    </xf>
    <xf numFmtId="0" fontId="31" fillId="0" borderId="0" xfId="0" applyFont="1" applyBorder="1"/>
    <xf numFmtId="0" fontId="14" fillId="5" borderId="9" xfId="0" applyFont="1" applyFill="1" applyBorder="1" applyAlignment="1">
      <alignment horizontal="left"/>
    </xf>
    <xf numFmtId="0" fontId="14" fillId="3" borderId="9" xfId="0" applyFont="1" applyFill="1" applyBorder="1" applyAlignment="1">
      <alignment horizontal="left" vertical="center"/>
    </xf>
    <xf numFmtId="0" fontId="29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/>
    </xf>
    <xf numFmtId="0" fontId="14" fillId="0" borderId="5" xfId="0" applyFont="1" applyBorder="1" applyAlignment="1">
      <alignment horizontal="left" wrapText="1"/>
    </xf>
    <xf numFmtId="0" fontId="14" fillId="5" borderId="9" xfId="0" applyFont="1" applyFill="1" applyBorder="1" applyAlignment="1">
      <alignment horizontal="left" wrapText="1"/>
    </xf>
    <xf numFmtId="0" fontId="14" fillId="0" borderId="20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3" borderId="10" xfId="0" applyFont="1" applyFill="1" applyBorder="1" applyAlignment="1">
      <alignment horizontal="left"/>
    </xf>
    <xf numFmtId="0" fontId="14" fillId="0" borderId="21" xfId="0" applyFont="1" applyBorder="1" applyAlignment="1">
      <alignment horizontal="left" wrapText="1"/>
    </xf>
    <xf numFmtId="0" fontId="14" fillId="0" borderId="21" xfId="0" applyFont="1" applyBorder="1" applyAlignment="1">
      <alignment horizontal="left"/>
    </xf>
    <xf numFmtId="0" fontId="14" fillId="0" borderId="22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 wrapText="1"/>
    </xf>
    <xf numFmtId="0" fontId="14" fillId="3" borderId="3" xfId="0" applyFont="1" applyFill="1" applyBorder="1" applyAlignment="1">
      <alignment horizontal="left" vertical="center"/>
    </xf>
    <xf numFmtId="0" fontId="14" fillId="0" borderId="23" xfId="0" applyFont="1" applyBorder="1" applyAlignment="1">
      <alignment horizontal="left" wrapText="1"/>
    </xf>
    <xf numFmtId="0" fontId="14" fillId="5" borderId="16" xfId="0" applyFont="1" applyFill="1" applyBorder="1" applyAlignment="1">
      <alignment horizontal="left"/>
    </xf>
    <xf numFmtId="0" fontId="14" fillId="0" borderId="21" xfId="0" applyFont="1" applyBorder="1" applyAlignment="1">
      <alignment horizontal="left" vertical="center" wrapText="1"/>
    </xf>
    <xf numFmtId="0" fontId="14" fillId="5" borderId="5" xfId="0" applyFont="1" applyFill="1" applyBorder="1" applyAlignment="1">
      <alignment horizontal="left"/>
    </xf>
    <xf numFmtId="0" fontId="14" fillId="0" borderId="24" xfId="0" applyFont="1" applyBorder="1" applyAlignment="1">
      <alignment horizontal="left"/>
    </xf>
    <xf numFmtId="0" fontId="14" fillId="3" borderId="18" xfId="0" applyFont="1" applyFill="1" applyBorder="1" applyAlignment="1">
      <alignment horizontal="left" vertical="center" wrapText="1"/>
    </xf>
    <xf numFmtId="0" fontId="18" fillId="0" borderId="5" xfId="0" applyFont="1" applyBorder="1"/>
    <xf numFmtId="0" fontId="14" fillId="22" borderId="5" xfId="0" applyFont="1" applyFill="1" applyBorder="1" applyAlignment="1">
      <alignment horizontal="left" vertical="center" wrapText="1"/>
    </xf>
    <xf numFmtId="0" fontId="14" fillId="23" borderId="5" xfId="0" applyFont="1" applyFill="1" applyBorder="1" applyAlignment="1">
      <alignment horizontal="left" vertical="center" wrapText="1"/>
    </xf>
    <xf numFmtId="0" fontId="0" fillId="0" borderId="44" xfId="0" applyFont="1" applyBorder="1" applyAlignment="1">
      <alignment horizontal="center" vertical="center"/>
    </xf>
    <xf numFmtId="0" fontId="23" fillId="24" borderId="38" xfId="0" applyFont="1" applyFill="1" applyBorder="1" applyAlignment="1">
      <alignment horizontal="center" vertical="center" wrapText="1"/>
    </xf>
    <xf numFmtId="0" fontId="23" fillId="24" borderId="44" xfId="0" applyFont="1" applyFill="1" applyBorder="1" applyAlignment="1">
      <alignment horizontal="center" vertical="center" wrapText="1"/>
    </xf>
    <xf numFmtId="0" fontId="32" fillId="0" borderId="44" xfId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0" fontId="14" fillId="25" borderId="5" xfId="0" applyFont="1" applyFill="1" applyBorder="1" applyAlignment="1">
      <alignment horizontal="center" vertical="center" wrapText="1"/>
    </xf>
    <xf numFmtId="0" fontId="14" fillId="3" borderId="5" xfId="0" quotePrefix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20" borderId="5" xfId="0" applyFont="1" applyFill="1" applyBorder="1" applyAlignment="1">
      <alignment horizontal="center" vertical="center" wrapText="1"/>
    </xf>
    <xf numFmtId="0" fontId="8" fillId="22" borderId="5" xfId="0" applyFont="1" applyFill="1" applyBorder="1" applyAlignment="1">
      <alignment horizontal="center" vertical="center" wrapText="1"/>
    </xf>
    <xf numFmtId="0" fontId="8" fillId="27" borderId="5" xfId="0" applyFont="1" applyFill="1" applyBorder="1" applyAlignment="1">
      <alignment horizontal="center" vertical="center" wrapText="1"/>
    </xf>
    <xf numFmtId="0" fontId="8" fillId="19" borderId="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33" fillId="2" borderId="38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14" fillId="28" borderId="5" xfId="0" applyFont="1" applyFill="1" applyBorder="1" applyAlignment="1">
      <alignment horizontal="left" vertical="center" wrapText="1"/>
    </xf>
    <xf numFmtId="0" fontId="14" fillId="29" borderId="5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3" fillId="3" borderId="5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0" borderId="7" xfId="0" applyFont="1" applyFill="1" applyBorder="1" applyAlignment="1">
      <alignment horizontal="center" vertical="center" wrapText="1"/>
    </xf>
    <xf numFmtId="0" fontId="28" fillId="3" borderId="5" xfId="0" applyFont="1" applyFill="1" applyBorder="1" applyAlignment="1">
      <alignment horizontal="center" vertical="center" wrapText="1"/>
    </xf>
    <xf numFmtId="20" fontId="28" fillId="26" borderId="7" xfId="0" applyNumberFormat="1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28" fillId="31" borderId="5" xfId="0" applyFont="1" applyFill="1" applyBorder="1" applyAlignment="1">
      <alignment horizontal="center" vertical="center" wrapText="1"/>
    </xf>
    <xf numFmtId="20" fontId="28" fillId="26" borderId="44" xfId="0" applyNumberFormat="1" applyFont="1" applyFill="1" applyBorder="1" applyAlignment="1">
      <alignment horizontal="center" vertical="center" wrapText="1"/>
    </xf>
    <xf numFmtId="0" fontId="14" fillId="20" borderId="5" xfId="0" applyFont="1" applyFill="1" applyBorder="1" applyAlignment="1">
      <alignment horizontal="center" vertical="center" wrapText="1"/>
    </xf>
    <xf numFmtId="0" fontId="34" fillId="0" borderId="44" xfId="0" applyFont="1" applyBorder="1" applyAlignment="1">
      <alignment horizontal="center"/>
    </xf>
    <xf numFmtId="0" fontId="23" fillId="16" borderId="51" xfId="0" applyFont="1" applyFill="1" applyBorder="1" applyAlignment="1">
      <alignment horizontal="center" vertical="center" wrapText="1"/>
    </xf>
    <xf numFmtId="0" fontId="23" fillId="16" borderId="52" xfId="0" applyFont="1" applyFill="1" applyBorder="1" applyAlignment="1">
      <alignment horizontal="center" vertical="center" wrapText="1"/>
    </xf>
    <xf numFmtId="0" fontId="35" fillId="32" borderId="44" xfId="0" applyFont="1" applyFill="1" applyBorder="1" applyAlignment="1">
      <alignment horizontal="center" vertical="center" wrapText="1"/>
    </xf>
    <xf numFmtId="0" fontId="14" fillId="19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14" fillId="30" borderId="5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4" fillId="3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/>
    <xf numFmtId="0" fontId="14" fillId="33" borderId="5" xfId="0" applyFont="1" applyFill="1" applyBorder="1" applyAlignment="1">
      <alignment horizontal="left" vertical="center"/>
    </xf>
    <xf numFmtId="0" fontId="8" fillId="22" borderId="5" xfId="0" applyFont="1" applyFill="1" applyBorder="1" applyAlignment="1">
      <alignment horizontal="left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4" borderId="5" xfId="0" applyFont="1" applyFill="1" applyBorder="1" applyAlignment="1">
      <alignment horizontal="center" vertical="center" wrapText="1"/>
    </xf>
    <xf numFmtId="0" fontId="8" fillId="22" borderId="21" xfId="0" applyFont="1" applyFill="1" applyBorder="1" applyAlignment="1">
      <alignment horizontal="center" vertical="center" wrapText="1"/>
    </xf>
    <xf numFmtId="0" fontId="14" fillId="3" borderId="44" xfId="0" applyFont="1" applyFill="1" applyBorder="1" applyAlignment="1">
      <alignment horizontal="center" vertical="center" wrapText="1"/>
    </xf>
    <xf numFmtId="0" fontId="8" fillId="22" borderId="24" xfId="0" applyFont="1" applyFill="1" applyBorder="1" applyAlignment="1">
      <alignment horizontal="center" vertical="center" wrapText="1"/>
    </xf>
    <xf numFmtId="0" fontId="8" fillId="22" borderId="53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left" vertical="center"/>
    </xf>
    <xf numFmtId="0" fontId="14" fillId="5" borderId="5" xfId="0" applyFont="1" applyFill="1" applyBorder="1" applyAlignment="1">
      <alignment horizontal="left" vertical="center"/>
    </xf>
    <xf numFmtId="0" fontId="14" fillId="19" borderId="5" xfId="0" applyFont="1" applyFill="1" applyBorder="1" applyAlignment="1">
      <alignment horizontal="left" vertical="center"/>
    </xf>
    <xf numFmtId="0" fontId="14" fillId="7" borderId="5" xfId="0" applyFont="1" applyFill="1" applyBorder="1" applyAlignment="1">
      <alignment horizontal="left" vertical="center"/>
    </xf>
    <xf numFmtId="0" fontId="9" fillId="31" borderId="5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20" fillId="16" borderId="41" xfId="0" applyFont="1" applyFill="1" applyBorder="1" applyAlignment="1">
      <alignment horizontal="center" vertical="center" wrapText="1"/>
    </xf>
    <xf numFmtId="0" fontId="20" fillId="16" borderId="42" xfId="0" applyFont="1" applyFill="1" applyBorder="1" applyAlignment="1">
      <alignment horizontal="center" vertical="center" wrapText="1"/>
    </xf>
    <xf numFmtId="0" fontId="20" fillId="16" borderId="43" xfId="0" applyFont="1" applyFill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6" fillId="0" borderId="31" xfId="0" applyFont="1" applyBorder="1"/>
    <xf numFmtId="0" fontId="8" fillId="6" borderId="27" xfId="0" applyFont="1" applyFill="1" applyBorder="1" applyAlignment="1">
      <alignment horizontal="center" vertical="center" wrapText="1"/>
    </xf>
    <xf numFmtId="0" fontId="6" fillId="0" borderId="33" xfId="0" applyFont="1" applyBorder="1"/>
    <xf numFmtId="0" fontId="8" fillId="7" borderId="35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12" fillId="10" borderId="36" xfId="0" applyFont="1" applyFill="1" applyBorder="1" applyAlignment="1">
      <alignment horizontal="center"/>
    </xf>
    <xf numFmtId="0" fontId="6" fillId="0" borderId="37" xfId="0" applyFont="1" applyBorder="1"/>
    <xf numFmtId="0" fontId="6" fillId="0" borderId="38" xfId="0" applyFont="1" applyBorder="1"/>
    <xf numFmtId="0" fontId="14" fillId="30" borderId="21" xfId="0" applyFont="1" applyFill="1" applyBorder="1" applyAlignment="1">
      <alignment horizontal="center" vertical="center" wrapText="1"/>
    </xf>
    <xf numFmtId="0" fontId="14" fillId="30" borderId="16" xfId="0" applyFont="1" applyFill="1" applyBorder="1" applyAlignment="1">
      <alignment horizontal="center" vertical="center" wrapText="1"/>
    </xf>
    <xf numFmtId="0" fontId="14" fillId="30" borderId="57" xfId="0" applyFont="1" applyFill="1" applyBorder="1" applyAlignment="1">
      <alignment horizontal="center" vertical="center" wrapText="1"/>
    </xf>
    <xf numFmtId="0" fontId="14" fillId="30" borderId="58" xfId="0" applyFont="1" applyFill="1" applyBorder="1" applyAlignment="1">
      <alignment horizontal="center" vertical="center" wrapText="1"/>
    </xf>
    <xf numFmtId="0" fontId="14" fillId="30" borderId="53" xfId="0" applyFont="1" applyFill="1" applyBorder="1" applyAlignment="1">
      <alignment horizontal="center" vertical="center" wrapText="1"/>
    </xf>
    <xf numFmtId="0" fontId="14" fillId="30" borderId="48" xfId="0" applyFont="1" applyFill="1" applyBorder="1" applyAlignment="1">
      <alignment horizontal="center" vertical="center" wrapText="1"/>
    </xf>
    <xf numFmtId="0" fontId="14" fillId="19" borderId="21" xfId="0" applyFont="1" applyFill="1" applyBorder="1" applyAlignment="1">
      <alignment horizontal="center" vertical="center" wrapText="1"/>
    </xf>
    <xf numFmtId="0" fontId="14" fillId="19" borderId="16" xfId="0" applyFont="1" applyFill="1" applyBorder="1" applyAlignment="1">
      <alignment horizontal="center" vertical="center" wrapText="1"/>
    </xf>
    <xf numFmtId="0" fontId="14" fillId="30" borderId="23" xfId="0" applyFont="1" applyFill="1" applyBorder="1" applyAlignment="1">
      <alignment horizontal="center" vertical="center" wrapText="1"/>
    </xf>
    <xf numFmtId="0" fontId="14" fillId="19" borderId="21" xfId="0" applyFont="1" applyFill="1" applyBorder="1" applyAlignment="1">
      <alignment horizontal="center" vertical="center"/>
    </xf>
    <xf numFmtId="0" fontId="14" fillId="19" borderId="23" xfId="0" applyFont="1" applyFill="1" applyBorder="1" applyAlignment="1">
      <alignment horizontal="center" vertical="center"/>
    </xf>
    <xf numFmtId="0" fontId="14" fillId="19" borderId="16" xfId="0" applyFont="1" applyFill="1" applyBorder="1" applyAlignment="1">
      <alignment horizontal="center" vertical="center"/>
    </xf>
    <xf numFmtId="0" fontId="14" fillId="19" borderId="23" xfId="0" applyFont="1" applyFill="1" applyBorder="1" applyAlignment="1">
      <alignment horizontal="center" vertical="center" wrapText="1"/>
    </xf>
    <xf numFmtId="0" fontId="14" fillId="30" borderId="55" xfId="0" applyFont="1" applyFill="1" applyBorder="1" applyAlignment="1">
      <alignment horizontal="center" vertical="center" wrapText="1"/>
    </xf>
    <xf numFmtId="0" fontId="14" fillId="30" borderId="46" xfId="0" applyFont="1" applyFill="1" applyBorder="1" applyAlignment="1">
      <alignment horizontal="center" vertical="center" wrapText="1"/>
    </xf>
    <xf numFmtId="0" fontId="14" fillId="30" borderId="54" xfId="0" applyFont="1" applyFill="1" applyBorder="1" applyAlignment="1">
      <alignment horizontal="center" vertical="center" wrapText="1"/>
    </xf>
    <xf numFmtId="0" fontId="14" fillId="30" borderId="56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Condensed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Condensed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Condensed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Condensed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Condensed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Condensed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Condensed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Condensed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Condensed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Condensed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Condensed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Condensed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Condensed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Condensed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Condensed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Condensed"/>
        <scheme val="none"/>
      </font>
      <fill>
        <patternFill patternType="solid">
          <fgColor rgb="FF9CC2E5"/>
          <bgColor rgb="FF9CC2E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4AD4A5-7B38-415B-9901-8AF8B424209D}" name="Tabla3" displayName="Tabla3" ref="L2:Q551" totalsRowShown="0" headerRowDxfId="18" dataDxfId="17" tableBorderDxfId="16">
  <autoFilter ref="L2:Q551" xr:uid="{8D4AD4A5-7B38-415B-9901-8AF8B424209D}"/>
  <tableColumns count="6">
    <tableColumn id="1" xr3:uid="{A26DF1D3-1C07-459D-85DF-C36A956165CB}" name="HORA DE INICIO DIAGNOSTICO" dataDxfId="15"/>
    <tableColumn id="2" xr3:uid="{9A977885-6F8C-4404-B87C-1B9779553CA7}" name="OBSERVACIONES DIAGNOSTICO " dataDxfId="14"/>
    <tableColumn id="3" xr3:uid="{37C8F366-FF71-4615-AE06-DBF614C90787}" name="ENCARGADO" dataDxfId="13"/>
    <tableColumn id="4" xr3:uid="{1B874891-1C2D-4E1D-8C7D-8361AF826529}" name="HORA DE INCIO MANTENIMIENTO" dataDxfId="12"/>
    <tableColumn id="5" xr3:uid="{8D5F7D30-8A32-497B-9D3C-54DBB9257DAB}" name="OBSERVACIONES DE MANTENIMIENTO" dataDxfId="11"/>
    <tableColumn id="6" xr3:uid="{3D65F692-5479-4510-B9FE-B9A551A99703}" name="ENCARGADO2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5DF341-B42C-40BC-8B43-984482A01051}" name="Tabla4" displayName="Tabla4" ref="A2:F17" totalsRowShown="0" headerRowDxfId="9" dataDxfId="7" headerRowBorderDxfId="8" tableBorderDxfId="6">
  <autoFilter ref="A2:F17" xr:uid="{5E5DF341-B42C-40BC-8B43-984482A01051}"/>
  <tableColumns count="6">
    <tableColumn id="1" xr3:uid="{8B51CF6D-FFA2-4613-A4BE-32FB5308E34F}" name="ITEM" dataDxfId="5"/>
    <tableColumn id="2" xr3:uid="{5F6A8997-0C1B-42E9-9952-0458C628D567}" name="MODELO " dataDxfId="4"/>
    <tableColumn id="3" xr3:uid="{51C77895-EEBC-45FD-836D-FA069721932B}" name="SERIE " dataDxfId="3"/>
    <tableColumn id="4" xr3:uid="{C946821C-03E7-4CED-8DBE-0467AC780165}" name="CONDICION" dataDxfId="2"/>
    <tableColumn id="5" xr3:uid="{69FDE41B-F070-4BC2-8480-7448E1C1A80E}" name="REPUESTOS" dataDxfId="1"/>
    <tableColumn id="6" xr3:uid="{F36A00EC-C54C-4F13-8F44-4B226EBCD519}" name="OBSERVACIO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agelectronica.com/detalle?busca=NTE+6357" TargetMode="External"/><Relationship Id="rId1" Type="http://schemas.openxmlformats.org/officeDocument/2006/relationships/hyperlink" Target="https://www.ebay.com/itm/25425578591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39"/>
  <sheetViews>
    <sheetView tabSelected="1" zoomScale="70" zoomScaleNormal="7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K530" sqref="D530:K530"/>
    </sheetView>
  </sheetViews>
  <sheetFormatPr baseColWidth="10" defaultColWidth="14.42578125" defaultRowHeight="15" customHeight="1"/>
  <cols>
    <col min="1" max="1" width="9.85546875" customWidth="1"/>
    <col min="2" max="2" width="6.85546875" customWidth="1"/>
    <col min="3" max="3" width="35.28515625" customWidth="1"/>
    <col min="4" max="4" width="11.85546875" customWidth="1"/>
    <col min="5" max="5" width="14.5703125" customWidth="1"/>
    <col min="6" max="6" width="28.7109375" customWidth="1"/>
    <col min="7" max="7" width="18.5703125" customWidth="1"/>
    <col min="8" max="8" width="27.7109375" customWidth="1"/>
    <col min="9" max="9" width="29" customWidth="1"/>
    <col min="10" max="10" width="31.140625" customWidth="1"/>
    <col min="11" max="11" width="26.85546875" customWidth="1"/>
    <col min="12" max="12" width="33.28515625" customWidth="1"/>
    <col min="13" max="13" width="38.7109375" customWidth="1"/>
    <col min="14" max="14" width="25.85546875" customWidth="1"/>
    <col min="15" max="15" width="30.7109375" customWidth="1"/>
    <col min="16" max="16" width="36.7109375" customWidth="1"/>
    <col min="17" max="17" width="22.42578125" customWidth="1"/>
    <col min="18" max="18" width="26.42578125" customWidth="1"/>
    <col min="19" max="24" width="10.7109375" customWidth="1"/>
  </cols>
  <sheetData>
    <row r="1" spans="1:23" ht="36" customHeight="1">
      <c r="A1" s="197" t="s">
        <v>1100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</row>
    <row r="2" spans="1:23" ht="31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1671</v>
      </c>
      <c r="H2" s="3" t="s">
        <v>6</v>
      </c>
      <c r="I2" s="3" t="s">
        <v>7</v>
      </c>
      <c r="J2" s="3" t="s">
        <v>8</v>
      </c>
      <c r="K2" s="4" t="s">
        <v>9</v>
      </c>
      <c r="L2" s="159" t="s">
        <v>1914</v>
      </c>
      <c r="M2" s="160" t="s">
        <v>1916</v>
      </c>
      <c r="N2" s="160" t="s">
        <v>1912</v>
      </c>
      <c r="O2" s="160" t="s">
        <v>1915</v>
      </c>
      <c r="P2" s="160" t="s">
        <v>1934</v>
      </c>
      <c r="Q2" s="160" t="s">
        <v>1935</v>
      </c>
      <c r="R2" s="1"/>
      <c r="T2" s="1"/>
      <c r="U2" s="1"/>
      <c r="V2" s="1"/>
      <c r="W2" s="1"/>
    </row>
    <row r="3" spans="1:23" ht="1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51"/>
      <c r="M3" s="151"/>
      <c r="N3" s="151"/>
      <c r="O3" s="151"/>
      <c r="P3" s="151"/>
      <c r="Q3" s="151"/>
      <c r="R3" s="1"/>
      <c r="T3" s="1"/>
      <c r="U3" s="1"/>
      <c r="V3" s="1"/>
      <c r="W3" s="1"/>
    </row>
    <row r="4" spans="1:23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56"/>
      <c r="M4" s="151"/>
      <c r="N4" s="151"/>
      <c r="O4" s="151"/>
      <c r="P4" s="151"/>
      <c r="Q4" s="151"/>
      <c r="R4" s="1"/>
      <c r="T4" s="1"/>
      <c r="U4" s="1"/>
      <c r="V4" s="1"/>
      <c r="W4" s="1"/>
    </row>
    <row r="5" spans="1:23" ht="1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56"/>
      <c r="M5" s="151"/>
      <c r="N5" s="151"/>
      <c r="O5" s="151"/>
      <c r="P5" s="151"/>
      <c r="Q5" s="151"/>
      <c r="R5" s="1"/>
      <c r="T5" s="1"/>
      <c r="U5" s="1"/>
      <c r="V5" s="1"/>
      <c r="W5" s="1"/>
    </row>
    <row r="6" spans="1:23" ht="1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56"/>
      <c r="M6" s="151"/>
      <c r="N6" s="151"/>
      <c r="O6" s="151"/>
      <c r="P6" s="151"/>
      <c r="Q6" s="151"/>
      <c r="R6" s="1"/>
      <c r="T6" s="1"/>
      <c r="U6" s="1"/>
      <c r="V6" s="1"/>
      <c r="W6" s="1"/>
    </row>
    <row r="7" spans="1:23" ht="1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56"/>
      <c r="M7" s="151"/>
      <c r="N7" s="151"/>
      <c r="O7" s="151"/>
      <c r="P7" s="151"/>
      <c r="Q7" s="151"/>
      <c r="R7" s="1"/>
      <c r="T7" s="1"/>
      <c r="U7" s="1"/>
      <c r="V7" s="1"/>
      <c r="W7" s="1"/>
    </row>
    <row r="8" spans="1:23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156"/>
      <c r="M8" s="151"/>
      <c r="N8" s="151"/>
      <c r="O8" s="151"/>
      <c r="P8" s="151"/>
      <c r="Q8" s="151"/>
      <c r="R8" s="1"/>
      <c r="T8" s="1"/>
      <c r="U8" s="1"/>
      <c r="V8" s="1"/>
      <c r="W8" s="1"/>
    </row>
    <row r="9" spans="1:23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156"/>
      <c r="M9" s="151"/>
      <c r="N9" s="151"/>
      <c r="O9" s="151"/>
      <c r="P9" s="151"/>
      <c r="Q9" s="151"/>
      <c r="R9" s="1"/>
      <c r="T9" s="1"/>
      <c r="U9" s="1"/>
      <c r="V9" s="1"/>
      <c r="W9" s="1"/>
    </row>
    <row r="10" spans="1:23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156"/>
      <c r="M10" s="151"/>
      <c r="N10" s="151"/>
      <c r="O10" s="151"/>
      <c r="P10" s="151"/>
      <c r="Q10" s="151"/>
      <c r="R10" s="1"/>
      <c r="T10" s="1"/>
      <c r="U10" s="1"/>
      <c r="V10" s="1"/>
      <c r="W10" s="1"/>
    </row>
    <row r="11" spans="1:23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156"/>
      <c r="M11" s="151"/>
      <c r="N11" s="151"/>
      <c r="O11" s="151"/>
      <c r="P11" s="151"/>
      <c r="Q11" s="151"/>
      <c r="R11" s="1"/>
      <c r="T11" s="1"/>
      <c r="U11" s="1"/>
      <c r="V11" s="1"/>
      <c r="W11" s="1"/>
    </row>
    <row r="12" spans="1:23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156"/>
      <c r="M12" s="151"/>
      <c r="N12" s="151"/>
      <c r="O12" s="151"/>
      <c r="P12" s="151"/>
      <c r="Q12" s="151"/>
      <c r="R12" s="1"/>
      <c r="T12" s="1"/>
      <c r="U12" s="1"/>
      <c r="V12" s="1"/>
      <c r="W12" s="1"/>
    </row>
    <row r="13" spans="1:2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156"/>
      <c r="M13" s="151"/>
      <c r="N13" s="151"/>
      <c r="O13" s="151"/>
      <c r="P13" s="151"/>
      <c r="Q13" s="151"/>
      <c r="R13" s="1"/>
      <c r="T13" s="1"/>
      <c r="U13" s="1"/>
      <c r="V13" s="1"/>
      <c r="W13" s="1"/>
    </row>
    <row r="14" spans="1:23" ht="15" customHeight="1">
      <c r="A14" s="5" t="s">
        <v>2214</v>
      </c>
      <c r="B14" s="5"/>
      <c r="C14" s="5" t="s">
        <v>2215</v>
      </c>
      <c r="D14" s="6">
        <v>46020</v>
      </c>
      <c r="E14" s="5" t="s">
        <v>25</v>
      </c>
      <c r="F14" s="5" t="s">
        <v>1025</v>
      </c>
      <c r="G14" s="5" t="s">
        <v>2216</v>
      </c>
      <c r="H14" s="34" t="s">
        <v>1774</v>
      </c>
      <c r="I14" s="5" t="s">
        <v>1070</v>
      </c>
      <c r="J14" s="194" t="s">
        <v>16</v>
      </c>
      <c r="K14" s="5"/>
      <c r="L14" s="156"/>
      <c r="M14" s="151"/>
      <c r="N14" s="151"/>
      <c r="O14" s="151"/>
      <c r="P14" s="151"/>
      <c r="Q14" s="151"/>
      <c r="R14" s="1"/>
      <c r="T14" s="1"/>
      <c r="U14" s="1"/>
      <c r="V14" s="1"/>
      <c r="W14" s="1"/>
    </row>
    <row r="15" spans="1:23" ht="15" customHeight="1">
      <c r="A15" s="5" t="s">
        <v>2213</v>
      </c>
      <c r="B15" s="5"/>
      <c r="C15" s="5" t="s">
        <v>2215</v>
      </c>
      <c r="D15" s="6">
        <v>46020</v>
      </c>
      <c r="E15" s="5" t="s">
        <v>25</v>
      </c>
      <c r="F15" s="5" t="s">
        <v>1025</v>
      </c>
      <c r="G15" s="5"/>
      <c r="H15" s="34" t="s">
        <v>1774</v>
      </c>
      <c r="I15" s="5" t="s">
        <v>1248</v>
      </c>
      <c r="J15" s="194" t="s">
        <v>16</v>
      </c>
      <c r="K15" s="5"/>
      <c r="L15" s="156"/>
      <c r="M15" s="151"/>
      <c r="N15" s="151"/>
      <c r="O15" s="151"/>
      <c r="P15" s="151"/>
      <c r="Q15" s="151"/>
      <c r="R15" s="1"/>
      <c r="T15" s="1"/>
      <c r="U15" s="1"/>
      <c r="V15" s="1"/>
      <c r="W15" s="1"/>
    </row>
    <row r="16" spans="1:23" ht="15" customHeight="1">
      <c r="A16" s="5" t="s">
        <v>2210</v>
      </c>
      <c r="B16" s="5">
        <v>1439</v>
      </c>
      <c r="C16" s="5" t="s">
        <v>2211</v>
      </c>
      <c r="D16" s="6">
        <v>46015</v>
      </c>
      <c r="E16" s="5" t="s">
        <v>25</v>
      </c>
      <c r="F16" s="5" t="s">
        <v>1334</v>
      </c>
      <c r="G16" s="5"/>
      <c r="H16" s="34" t="s">
        <v>1774</v>
      </c>
      <c r="I16" s="5" t="s">
        <v>1070</v>
      </c>
      <c r="J16" s="74" t="s">
        <v>50</v>
      </c>
      <c r="K16" s="34" t="s">
        <v>51</v>
      </c>
      <c r="L16" s="196" t="s">
        <v>2212</v>
      </c>
      <c r="M16" s="151"/>
      <c r="N16" s="152" t="s">
        <v>1918</v>
      </c>
      <c r="O16" s="151"/>
      <c r="P16" s="151"/>
      <c r="Q16" s="151"/>
      <c r="R16" s="1"/>
      <c r="T16" s="1"/>
      <c r="U16" s="1"/>
      <c r="V16" s="1"/>
      <c r="W16" s="1"/>
    </row>
    <row r="17" spans="1:23" ht="15" customHeight="1">
      <c r="A17" s="5" t="s">
        <v>2209</v>
      </c>
      <c r="B17" s="5">
        <v>1438</v>
      </c>
      <c r="C17" s="5" t="s">
        <v>2211</v>
      </c>
      <c r="D17" s="6">
        <v>46015</v>
      </c>
      <c r="E17" s="5" t="s">
        <v>25</v>
      </c>
      <c r="F17" s="5" t="s">
        <v>1334</v>
      </c>
      <c r="G17" s="5"/>
      <c r="H17" s="34" t="s">
        <v>1774</v>
      </c>
      <c r="I17" s="5" t="s">
        <v>1070</v>
      </c>
      <c r="J17" s="74" t="s">
        <v>50</v>
      </c>
      <c r="K17" s="34" t="s">
        <v>51</v>
      </c>
      <c r="L17" s="196" t="s">
        <v>2212</v>
      </c>
      <c r="M17" s="151"/>
      <c r="N17" s="162" t="s">
        <v>1948</v>
      </c>
      <c r="O17" s="151"/>
      <c r="P17" s="151"/>
      <c r="Q17" s="151"/>
      <c r="R17" s="1"/>
      <c r="T17" s="1"/>
      <c r="U17" s="1"/>
      <c r="V17" s="1"/>
      <c r="W17" s="1"/>
    </row>
    <row r="18" spans="1:23" ht="15" customHeight="1">
      <c r="A18" s="5">
        <v>1061</v>
      </c>
      <c r="B18" s="5">
        <v>1437</v>
      </c>
      <c r="C18" s="5" t="s">
        <v>2203</v>
      </c>
      <c r="D18" s="6">
        <v>45646</v>
      </c>
      <c r="E18" s="5" t="s">
        <v>25</v>
      </c>
      <c r="F18" s="5" t="s">
        <v>2201</v>
      </c>
      <c r="G18" s="5" t="s">
        <v>2202</v>
      </c>
      <c r="H18" s="5" t="s">
        <v>2204</v>
      </c>
      <c r="I18" s="5" t="s">
        <v>2205</v>
      </c>
      <c r="J18" s="193" t="s">
        <v>34</v>
      </c>
      <c r="K18" s="34" t="s">
        <v>820</v>
      </c>
      <c r="L18" s="171" t="s">
        <v>2206</v>
      </c>
      <c r="M18" s="151"/>
      <c r="N18" s="154" t="s">
        <v>1919</v>
      </c>
      <c r="O18" s="171" t="s">
        <v>2207</v>
      </c>
      <c r="P18" s="151"/>
      <c r="Q18" s="154" t="s">
        <v>1919</v>
      </c>
      <c r="R18" s="1"/>
      <c r="T18" s="1"/>
      <c r="U18" s="1"/>
      <c r="V18" s="1"/>
      <c r="W18" s="1"/>
    </row>
    <row r="19" spans="1:23" ht="15" customHeight="1">
      <c r="A19" s="5">
        <v>1060</v>
      </c>
      <c r="B19" s="5">
        <v>1436</v>
      </c>
      <c r="C19" s="5" t="s">
        <v>2196</v>
      </c>
      <c r="D19" s="6">
        <v>46010</v>
      </c>
      <c r="E19" s="5" t="s">
        <v>25</v>
      </c>
      <c r="F19" s="5" t="s">
        <v>260</v>
      </c>
      <c r="G19" s="5" t="s">
        <v>2197</v>
      </c>
      <c r="H19" s="5" t="s">
        <v>2198</v>
      </c>
      <c r="I19" s="5" t="s">
        <v>2199</v>
      </c>
      <c r="J19" s="193" t="s">
        <v>34</v>
      </c>
      <c r="K19" s="34" t="s">
        <v>820</v>
      </c>
      <c r="L19" s="171" t="s">
        <v>2200</v>
      </c>
      <c r="M19" s="151"/>
      <c r="N19" s="162" t="s">
        <v>1948</v>
      </c>
      <c r="O19" s="151"/>
      <c r="P19" s="151"/>
      <c r="Q19" s="151"/>
      <c r="R19" s="1"/>
      <c r="T19" s="1"/>
      <c r="U19" s="1"/>
      <c r="V19" s="1"/>
      <c r="W19" s="1"/>
    </row>
    <row r="20" spans="1:23" ht="15" customHeight="1">
      <c r="A20" s="5">
        <v>1059</v>
      </c>
      <c r="B20" s="5">
        <v>1435</v>
      </c>
      <c r="C20" s="192" t="s">
        <v>2187</v>
      </c>
      <c r="D20" s="6">
        <v>46009</v>
      </c>
      <c r="E20" s="5" t="s">
        <v>25</v>
      </c>
      <c r="F20" s="5" t="s">
        <v>2134</v>
      </c>
      <c r="G20" s="5"/>
      <c r="H20" s="5"/>
      <c r="I20" s="5"/>
      <c r="J20" s="74" t="s">
        <v>50</v>
      </c>
      <c r="K20" s="34" t="s">
        <v>51</v>
      </c>
      <c r="L20" s="171" t="s">
        <v>2195</v>
      </c>
      <c r="M20" s="151"/>
      <c r="N20" s="154" t="s">
        <v>1919</v>
      </c>
      <c r="O20" s="151"/>
      <c r="P20" s="151"/>
      <c r="Q20" s="151"/>
      <c r="R20" s="1"/>
      <c r="T20" s="1"/>
      <c r="U20" s="1"/>
      <c r="V20" s="1"/>
      <c r="W20" s="1"/>
    </row>
    <row r="21" spans="1:23" ht="15" customHeight="1">
      <c r="A21" s="5">
        <v>1058</v>
      </c>
      <c r="B21" s="5">
        <v>1434</v>
      </c>
      <c r="C21" s="5" t="s">
        <v>2189</v>
      </c>
      <c r="D21" s="6">
        <v>46009</v>
      </c>
      <c r="E21" s="5" t="s">
        <v>25</v>
      </c>
      <c r="F21" s="5" t="s">
        <v>1337</v>
      </c>
      <c r="G21" s="5" t="s">
        <v>2190</v>
      </c>
      <c r="H21" s="5" t="s">
        <v>899</v>
      </c>
      <c r="I21" s="5" t="s">
        <v>2191</v>
      </c>
      <c r="J21" s="193" t="s">
        <v>34</v>
      </c>
      <c r="K21" s="34" t="s">
        <v>820</v>
      </c>
      <c r="L21" s="171" t="s">
        <v>2192</v>
      </c>
      <c r="M21" s="151"/>
      <c r="N21" s="152" t="s">
        <v>1918</v>
      </c>
      <c r="O21" s="151"/>
      <c r="P21" s="151"/>
      <c r="Q21" s="151"/>
      <c r="R21" s="1"/>
      <c r="T21" s="1"/>
      <c r="U21" s="1"/>
      <c r="V21" s="1"/>
      <c r="W21" s="1"/>
    </row>
    <row r="22" spans="1:23" ht="15" customHeight="1">
      <c r="A22" s="185"/>
      <c r="B22" s="5"/>
      <c r="C22" s="5" t="s">
        <v>2167</v>
      </c>
      <c r="D22" s="185"/>
      <c r="E22" s="5" t="s">
        <v>25</v>
      </c>
      <c r="F22" s="5" t="s">
        <v>2168</v>
      </c>
      <c r="G22" s="5" t="s">
        <v>2172</v>
      </c>
      <c r="H22" s="5"/>
      <c r="J22" s="36" t="s">
        <v>2186</v>
      </c>
      <c r="K22" s="199" t="s">
        <v>2177</v>
      </c>
      <c r="L22" s="171" t="s">
        <v>2194</v>
      </c>
      <c r="M22" s="151"/>
      <c r="N22" s="178" t="s">
        <v>1923</v>
      </c>
      <c r="O22" s="151"/>
      <c r="P22" s="151"/>
      <c r="Q22" s="151"/>
      <c r="R22" s="1"/>
      <c r="T22" s="1"/>
      <c r="U22" s="1"/>
      <c r="V22" s="1"/>
      <c r="W22" s="1"/>
    </row>
    <row r="23" spans="1:23" ht="15" customHeight="1">
      <c r="A23" s="185"/>
      <c r="B23" s="5">
        <v>730</v>
      </c>
      <c r="C23" s="5" t="s">
        <v>2167</v>
      </c>
      <c r="D23" s="185"/>
      <c r="E23" s="34" t="s">
        <v>1720</v>
      </c>
      <c r="F23" s="5" t="s">
        <v>233</v>
      </c>
      <c r="G23" s="5" t="s">
        <v>2173</v>
      </c>
      <c r="H23" s="5"/>
      <c r="I23" s="5"/>
      <c r="J23" s="36" t="s">
        <v>2186</v>
      </c>
      <c r="K23" s="200"/>
      <c r="L23" s="171" t="s">
        <v>2193</v>
      </c>
      <c r="M23" s="151"/>
      <c r="N23" s="178" t="s">
        <v>1923</v>
      </c>
      <c r="O23" s="151"/>
      <c r="P23" s="151"/>
      <c r="Q23" s="151"/>
      <c r="R23" s="1"/>
      <c r="T23" s="1"/>
      <c r="U23" s="1"/>
      <c r="V23" s="1"/>
      <c r="W23" s="1"/>
    </row>
    <row r="24" spans="1:23" ht="15" customHeight="1">
      <c r="A24" s="185"/>
      <c r="B24" s="5">
        <v>733</v>
      </c>
      <c r="C24" s="5" t="s">
        <v>2167</v>
      </c>
      <c r="D24" s="185"/>
      <c r="E24" s="34" t="s">
        <v>19</v>
      </c>
      <c r="F24" s="5" t="s">
        <v>2169</v>
      </c>
      <c r="G24" s="5" t="s">
        <v>2174</v>
      </c>
      <c r="H24" s="5"/>
      <c r="I24" s="5"/>
      <c r="J24" s="36" t="s">
        <v>2186</v>
      </c>
      <c r="K24" s="200"/>
      <c r="L24" s="171" t="s">
        <v>2193</v>
      </c>
      <c r="M24" s="151"/>
      <c r="N24" s="178" t="s">
        <v>1923</v>
      </c>
      <c r="O24" s="151"/>
      <c r="P24" s="151"/>
      <c r="Q24" s="151"/>
      <c r="R24" s="1"/>
      <c r="T24" s="1"/>
      <c r="U24" s="1"/>
      <c r="V24" s="1"/>
      <c r="W24" s="1"/>
    </row>
    <row r="25" spans="1:23" ht="15" customHeight="1">
      <c r="A25" s="185"/>
      <c r="B25" s="5">
        <v>731</v>
      </c>
      <c r="C25" s="5" t="s">
        <v>2167</v>
      </c>
      <c r="D25" s="185"/>
      <c r="E25" s="34" t="s">
        <v>1720</v>
      </c>
      <c r="F25" s="5" t="s">
        <v>2170</v>
      </c>
      <c r="G25" s="5" t="s">
        <v>2175</v>
      </c>
      <c r="H25" s="5"/>
      <c r="I25" s="5"/>
      <c r="J25" s="36" t="s">
        <v>2186</v>
      </c>
      <c r="K25" s="200"/>
      <c r="L25" s="171" t="s">
        <v>2194</v>
      </c>
      <c r="M25" s="151"/>
      <c r="N25" s="178" t="s">
        <v>1923</v>
      </c>
      <c r="O25" s="151"/>
      <c r="P25" s="151"/>
      <c r="Q25" s="151"/>
      <c r="R25" s="1"/>
      <c r="T25" s="1"/>
      <c r="U25" s="1"/>
      <c r="V25" s="1"/>
      <c r="W25" s="1"/>
    </row>
    <row r="26" spans="1:23" ht="15" customHeight="1">
      <c r="A26" s="185"/>
      <c r="B26" s="5">
        <v>260</v>
      </c>
      <c r="C26" s="5" t="s">
        <v>2167</v>
      </c>
      <c r="D26" s="185"/>
      <c r="E26" s="34" t="s">
        <v>1720</v>
      </c>
      <c r="F26" s="5" t="s">
        <v>2171</v>
      </c>
      <c r="G26" s="5" t="s">
        <v>2176</v>
      </c>
      <c r="H26" s="5"/>
      <c r="I26" s="71" t="s">
        <v>2185</v>
      </c>
      <c r="J26" s="36" t="s">
        <v>2186</v>
      </c>
      <c r="K26" s="201"/>
      <c r="L26" s="156"/>
      <c r="M26" s="151"/>
      <c r="N26" s="151"/>
      <c r="O26" s="151"/>
      <c r="P26" s="151"/>
      <c r="Q26" s="151"/>
      <c r="R26" s="1"/>
      <c r="T26" s="1"/>
      <c r="U26" s="1"/>
      <c r="V26" s="1"/>
      <c r="W26" s="1"/>
    </row>
    <row r="27" spans="1:23" ht="15" customHeight="1">
      <c r="A27" s="5">
        <v>1057</v>
      </c>
      <c r="B27" s="5">
        <v>1433</v>
      </c>
      <c r="C27" s="5" t="s">
        <v>2160</v>
      </c>
      <c r="D27" s="6">
        <v>46007</v>
      </c>
      <c r="E27" s="34" t="s">
        <v>25</v>
      </c>
      <c r="F27" s="5" t="s">
        <v>2161</v>
      </c>
      <c r="G27" s="5"/>
      <c r="H27" s="5" t="s">
        <v>2162</v>
      </c>
      <c r="I27" s="5" t="s">
        <v>2163</v>
      </c>
      <c r="J27" s="74" t="s">
        <v>50</v>
      </c>
      <c r="K27" s="34" t="s">
        <v>51</v>
      </c>
      <c r="L27" s="171" t="s">
        <v>2164</v>
      </c>
      <c r="M27" s="151" t="s">
        <v>2166</v>
      </c>
      <c r="N27" s="154" t="s">
        <v>1919</v>
      </c>
      <c r="O27" s="151"/>
      <c r="P27" s="151"/>
      <c r="Q27" s="151"/>
      <c r="R27" s="1"/>
      <c r="T27" s="1"/>
      <c r="U27" s="1"/>
      <c r="V27" s="1"/>
      <c r="W27" s="1"/>
    </row>
    <row r="28" spans="1:23" ht="15" customHeight="1">
      <c r="A28" s="5">
        <v>1056</v>
      </c>
      <c r="B28" s="5">
        <v>1432</v>
      </c>
      <c r="C28" s="34" t="s">
        <v>1344</v>
      </c>
      <c r="D28" s="6">
        <v>46007</v>
      </c>
      <c r="E28" s="34" t="s">
        <v>1720</v>
      </c>
      <c r="F28" s="5" t="s">
        <v>2157</v>
      </c>
      <c r="G28" s="5" t="s">
        <v>2158</v>
      </c>
      <c r="H28" s="34" t="s">
        <v>1774</v>
      </c>
      <c r="I28" s="34" t="s">
        <v>1010</v>
      </c>
      <c r="J28" s="193" t="s">
        <v>34</v>
      </c>
      <c r="K28" s="34" t="s">
        <v>820</v>
      </c>
      <c r="L28" s="171" t="s">
        <v>2159</v>
      </c>
      <c r="M28" s="151"/>
      <c r="N28" s="178" t="s">
        <v>1923</v>
      </c>
      <c r="O28" s="151"/>
      <c r="P28" s="151"/>
      <c r="Q28" s="151"/>
      <c r="R28" s="1"/>
      <c r="T28" s="1"/>
      <c r="U28" s="1"/>
      <c r="V28" s="1"/>
      <c r="W28" s="1"/>
    </row>
    <row r="29" spans="1:23" ht="15" customHeight="1">
      <c r="A29" s="34" t="s">
        <v>2154</v>
      </c>
      <c r="B29" s="143"/>
      <c r="C29" s="34" t="s">
        <v>2155</v>
      </c>
      <c r="D29" s="6">
        <v>46006</v>
      </c>
      <c r="E29" s="34" t="s">
        <v>1872</v>
      </c>
      <c r="F29" s="34" t="s">
        <v>1402</v>
      </c>
      <c r="G29" s="34" t="s">
        <v>1404</v>
      </c>
      <c r="H29" s="34" t="s">
        <v>1691</v>
      </c>
      <c r="I29" s="34" t="s">
        <v>1406</v>
      </c>
      <c r="J29" s="193" t="s">
        <v>34</v>
      </c>
      <c r="K29" s="34" t="s">
        <v>820</v>
      </c>
      <c r="L29" s="171" t="s">
        <v>2156</v>
      </c>
      <c r="M29" s="151"/>
      <c r="N29" s="162" t="s">
        <v>1948</v>
      </c>
      <c r="O29" s="151"/>
      <c r="P29" s="151"/>
      <c r="Q29" s="151"/>
      <c r="R29" s="1"/>
      <c r="T29" s="1"/>
      <c r="U29" s="1"/>
      <c r="V29" s="1"/>
      <c r="W29" s="1"/>
    </row>
    <row r="30" spans="1:23" ht="15" customHeight="1">
      <c r="A30" s="34" t="s">
        <v>2153</v>
      </c>
      <c r="B30" s="143"/>
      <c r="C30" s="34" t="s">
        <v>2155</v>
      </c>
      <c r="D30" s="6">
        <v>46006</v>
      </c>
      <c r="E30" s="34" t="s">
        <v>1872</v>
      </c>
      <c r="F30" s="34" t="s">
        <v>1402</v>
      </c>
      <c r="G30" s="34" t="s">
        <v>1403</v>
      </c>
      <c r="H30" s="34" t="s">
        <v>1691</v>
      </c>
      <c r="I30" s="34" t="s">
        <v>1406</v>
      </c>
      <c r="J30" s="193" t="s">
        <v>34</v>
      </c>
      <c r="K30" s="34" t="s">
        <v>820</v>
      </c>
      <c r="L30" s="171" t="s">
        <v>2156</v>
      </c>
      <c r="M30" s="151"/>
      <c r="N30" s="152" t="s">
        <v>1918</v>
      </c>
      <c r="O30" s="151"/>
      <c r="P30" s="151"/>
      <c r="Q30" s="151"/>
      <c r="R30" s="1"/>
      <c r="T30" s="1"/>
      <c r="U30" s="1"/>
      <c r="V30" s="1"/>
      <c r="W30" s="1"/>
    </row>
    <row r="31" spans="1:23" ht="15" customHeight="1">
      <c r="A31" s="5">
        <v>1054</v>
      </c>
      <c r="B31" s="5">
        <v>1431</v>
      </c>
      <c r="C31" s="5" t="s">
        <v>2147</v>
      </c>
      <c r="D31" s="6">
        <v>46004</v>
      </c>
      <c r="E31" s="5" t="s">
        <v>25</v>
      </c>
      <c r="F31" s="5" t="s">
        <v>153</v>
      </c>
      <c r="G31" s="5" t="s">
        <v>2145</v>
      </c>
      <c r="H31" s="5" t="s">
        <v>2148</v>
      </c>
      <c r="I31" s="5" t="s">
        <v>2149</v>
      </c>
      <c r="J31" s="193" t="s">
        <v>34</v>
      </c>
      <c r="K31" s="34" t="s">
        <v>820</v>
      </c>
      <c r="L31" s="171" t="s">
        <v>2146</v>
      </c>
      <c r="M31" s="151"/>
      <c r="N31" s="162" t="s">
        <v>1948</v>
      </c>
      <c r="O31" s="171" t="s">
        <v>2208</v>
      </c>
      <c r="P31" s="151"/>
      <c r="Q31" s="152" t="s">
        <v>1918</v>
      </c>
      <c r="R31" s="1"/>
      <c r="T31" s="1"/>
      <c r="U31" s="1"/>
      <c r="V31" s="1"/>
      <c r="W31" s="1"/>
    </row>
    <row r="32" spans="1:23" ht="15" customHeight="1">
      <c r="A32" s="5">
        <v>1053</v>
      </c>
      <c r="B32" s="143"/>
      <c r="C32" s="34" t="s">
        <v>2136</v>
      </c>
      <c r="D32" s="34" t="s">
        <v>2125</v>
      </c>
      <c r="E32" s="5" t="s">
        <v>25</v>
      </c>
      <c r="F32" s="34" t="s">
        <v>729</v>
      </c>
      <c r="G32" s="5"/>
      <c r="H32" s="5" t="s">
        <v>899</v>
      </c>
      <c r="I32" s="5"/>
      <c r="J32" s="193" t="s">
        <v>34</v>
      </c>
      <c r="K32" s="34" t="s">
        <v>822</v>
      </c>
      <c r="L32" s="156"/>
      <c r="M32" s="151"/>
      <c r="N32" s="154" t="s">
        <v>1919</v>
      </c>
      <c r="O32" s="151"/>
      <c r="P32" s="151"/>
      <c r="Q32" s="151"/>
      <c r="R32" s="1"/>
      <c r="T32" s="1"/>
      <c r="U32" s="1"/>
      <c r="V32" s="1"/>
      <c r="W32" s="1"/>
    </row>
    <row r="33" spans="1:23" ht="15" customHeight="1">
      <c r="A33" s="5">
        <v>1052</v>
      </c>
      <c r="B33" s="5">
        <v>1431</v>
      </c>
      <c r="C33" s="34" t="s">
        <v>2133</v>
      </c>
      <c r="D33" s="34" t="s">
        <v>2125</v>
      </c>
      <c r="E33" s="5" t="s">
        <v>25</v>
      </c>
      <c r="F33" s="34" t="s">
        <v>2134</v>
      </c>
      <c r="G33" s="5"/>
      <c r="H33" s="5"/>
      <c r="I33" s="34" t="s">
        <v>2135</v>
      </c>
      <c r="J33" s="193" t="s">
        <v>34</v>
      </c>
      <c r="K33" s="34" t="s">
        <v>820</v>
      </c>
      <c r="L33" s="156"/>
      <c r="M33" s="151"/>
      <c r="N33" s="154" t="s">
        <v>1919</v>
      </c>
      <c r="O33" s="173" t="s">
        <v>2165</v>
      </c>
      <c r="P33" s="151"/>
      <c r="Q33" s="154" t="s">
        <v>1919</v>
      </c>
      <c r="R33" s="1"/>
      <c r="T33" s="1"/>
      <c r="U33" s="1"/>
      <c r="V33" s="1"/>
      <c r="W33" s="1"/>
    </row>
    <row r="34" spans="1:23" ht="15" customHeight="1">
      <c r="A34" s="5">
        <v>1051</v>
      </c>
      <c r="B34" s="143"/>
      <c r="C34" s="34" t="s">
        <v>1230</v>
      </c>
      <c r="D34" s="34" t="s">
        <v>2125</v>
      </c>
      <c r="E34" s="34" t="s">
        <v>1720</v>
      </c>
      <c r="F34" s="34" t="s">
        <v>1608</v>
      </c>
      <c r="G34" s="34" t="s">
        <v>2130</v>
      </c>
      <c r="H34" s="34" t="s">
        <v>2132</v>
      </c>
      <c r="I34" s="34" t="s">
        <v>2131</v>
      </c>
      <c r="J34" s="193" t="s">
        <v>34</v>
      </c>
      <c r="K34" s="34" t="s">
        <v>820</v>
      </c>
      <c r="L34" s="171" t="s">
        <v>2151</v>
      </c>
      <c r="M34" s="151"/>
      <c r="N34" s="152" t="s">
        <v>1918</v>
      </c>
      <c r="O34" s="173" t="s">
        <v>2150</v>
      </c>
      <c r="P34" s="148"/>
      <c r="Q34" s="152" t="s">
        <v>1918</v>
      </c>
      <c r="R34" s="1"/>
      <c r="T34" s="1"/>
      <c r="U34" s="1"/>
      <c r="V34" s="1"/>
      <c r="W34" s="1"/>
    </row>
    <row r="35" spans="1:23" ht="15" customHeight="1">
      <c r="A35" s="34" t="s">
        <v>2124</v>
      </c>
      <c r="B35" s="143"/>
      <c r="C35" s="34" t="s">
        <v>1242</v>
      </c>
      <c r="D35" s="34" t="s">
        <v>2125</v>
      </c>
      <c r="E35" s="34" t="s">
        <v>25</v>
      </c>
      <c r="F35" s="34" t="s">
        <v>2126</v>
      </c>
      <c r="G35" s="5">
        <v>34237002</v>
      </c>
      <c r="H35" s="34" t="s">
        <v>2129</v>
      </c>
      <c r="I35" s="34" t="s">
        <v>2128</v>
      </c>
      <c r="J35" s="193" t="s">
        <v>34</v>
      </c>
      <c r="K35" s="34" t="s">
        <v>820</v>
      </c>
      <c r="L35" s="156"/>
      <c r="M35" s="151"/>
      <c r="N35" s="151"/>
      <c r="O35" s="173" t="s">
        <v>2138</v>
      </c>
      <c r="P35" s="151"/>
      <c r="Q35" s="178" t="s">
        <v>2087</v>
      </c>
      <c r="R35" s="1"/>
      <c r="T35" s="1"/>
      <c r="U35" s="1"/>
      <c r="V35" s="1"/>
      <c r="W35" s="1"/>
    </row>
    <row r="36" spans="1:23" ht="15" customHeight="1">
      <c r="A36" s="34" t="s">
        <v>2123</v>
      </c>
      <c r="B36" s="143"/>
      <c r="C36" s="34" t="s">
        <v>1242</v>
      </c>
      <c r="D36" s="34" t="s">
        <v>2125</v>
      </c>
      <c r="E36" s="34" t="s">
        <v>25</v>
      </c>
      <c r="F36" s="34" t="s">
        <v>2126</v>
      </c>
      <c r="G36" s="34" t="s">
        <v>2127</v>
      </c>
      <c r="H36" s="34" t="s">
        <v>2129</v>
      </c>
      <c r="I36" s="34" t="s">
        <v>2128</v>
      </c>
      <c r="J36" s="193" t="s">
        <v>34</v>
      </c>
      <c r="K36" s="34" t="s">
        <v>820</v>
      </c>
      <c r="L36" s="156"/>
      <c r="M36" s="151"/>
      <c r="N36" s="151"/>
      <c r="O36" s="173" t="s">
        <v>2137</v>
      </c>
      <c r="P36" s="151"/>
      <c r="Q36" s="162" t="s">
        <v>1948</v>
      </c>
      <c r="R36" s="1"/>
      <c r="T36" s="1"/>
      <c r="U36" s="1"/>
      <c r="V36" s="1"/>
      <c r="W36" s="1"/>
    </row>
    <row r="37" spans="1:23" ht="15" customHeight="1">
      <c r="A37" s="5">
        <v>1049</v>
      </c>
      <c r="B37" s="143"/>
      <c r="C37" s="34" t="s">
        <v>2095</v>
      </c>
      <c r="D37" s="6">
        <v>46002</v>
      </c>
      <c r="E37" s="34" t="s">
        <v>25</v>
      </c>
      <c r="F37" s="34" t="s">
        <v>729</v>
      </c>
      <c r="G37" s="5"/>
      <c r="H37" s="34" t="s">
        <v>2110</v>
      </c>
      <c r="I37" s="5"/>
      <c r="J37" s="193" t="s">
        <v>34</v>
      </c>
      <c r="K37" s="34" t="s">
        <v>822</v>
      </c>
      <c r="L37" s="171" t="s">
        <v>2111</v>
      </c>
      <c r="M37" s="151"/>
      <c r="N37" s="152" t="s">
        <v>1918</v>
      </c>
      <c r="O37" s="151"/>
      <c r="P37" s="151"/>
      <c r="Q37" s="151"/>
      <c r="R37" s="1"/>
      <c r="T37" s="1"/>
      <c r="U37" s="1"/>
      <c r="V37" s="1"/>
      <c r="W37" s="1"/>
    </row>
    <row r="38" spans="1:23" ht="15" customHeight="1">
      <c r="A38" s="5">
        <v>1048</v>
      </c>
      <c r="B38" s="5">
        <v>1428</v>
      </c>
      <c r="C38" s="34" t="s">
        <v>2105</v>
      </c>
      <c r="D38" s="6">
        <v>46001</v>
      </c>
      <c r="E38" s="5" t="s">
        <v>478</v>
      </c>
      <c r="F38" s="34" t="s">
        <v>2106</v>
      </c>
      <c r="G38" s="34" t="s">
        <v>2107</v>
      </c>
      <c r="H38" s="34" t="s">
        <v>2108</v>
      </c>
      <c r="I38" s="5"/>
      <c r="J38" s="74" t="s">
        <v>50</v>
      </c>
      <c r="K38" s="34" t="s">
        <v>51</v>
      </c>
      <c r="L38" s="171" t="s">
        <v>2109</v>
      </c>
      <c r="M38" s="151"/>
      <c r="N38" s="152" t="s">
        <v>1918</v>
      </c>
      <c r="O38" s="151"/>
      <c r="P38" s="151"/>
      <c r="Q38" s="151"/>
      <c r="R38" s="1"/>
      <c r="T38" s="1"/>
      <c r="U38" s="1"/>
      <c r="V38" s="1"/>
      <c r="W38" s="1"/>
    </row>
    <row r="39" spans="1:23" ht="15" customHeight="1">
      <c r="A39" s="5">
        <v>1047</v>
      </c>
      <c r="B39" s="5">
        <v>1429</v>
      </c>
      <c r="C39" s="5" t="s">
        <v>2095</v>
      </c>
      <c r="D39" s="6">
        <v>46001</v>
      </c>
      <c r="E39" s="5" t="s">
        <v>25</v>
      </c>
      <c r="F39" s="5" t="s">
        <v>260</v>
      </c>
      <c r="G39" s="5" t="s">
        <v>2096</v>
      </c>
      <c r="H39" s="5" t="s">
        <v>2097</v>
      </c>
      <c r="I39" s="5" t="s">
        <v>2098</v>
      </c>
      <c r="J39" s="193" t="s">
        <v>34</v>
      </c>
      <c r="K39" s="34" t="s">
        <v>820</v>
      </c>
      <c r="L39" s="171" t="s">
        <v>2099</v>
      </c>
      <c r="M39" s="151"/>
      <c r="N39" s="154" t="s">
        <v>1919</v>
      </c>
      <c r="O39" s="151"/>
      <c r="P39" s="151"/>
      <c r="Q39" s="151"/>
      <c r="R39" s="1"/>
      <c r="T39" s="1"/>
      <c r="U39" s="1"/>
      <c r="V39" s="1"/>
      <c r="W39" s="1"/>
    </row>
    <row r="40" spans="1:23" ht="15" customHeight="1">
      <c r="A40" s="34" t="s">
        <v>2075</v>
      </c>
      <c r="B40" s="5">
        <v>1426</v>
      </c>
      <c r="C40" s="34" t="s">
        <v>2076</v>
      </c>
      <c r="D40" s="6">
        <v>45996</v>
      </c>
      <c r="E40" s="34" t="s">
        <v>1720</v>
      </c>
      <c r="F40" s="34" t="s">
        <v>2079</v>
      </c>
      <c r="G40" s="34" t="s">
        <v>2080</v>
      </c>
      <c r="H40" s="34" t="s">
        <v>1774</v>
      </c>
      <c r="I40" s="34" t="s">
        <v>1248</v>
      </c>
      <c r="J40" s="184" t="s">
        <v>2152</v>
      </c>
      <c r="K40" s="5"/>
      <c r="L40" s="171" t="s">
        <v>2090</v>
      </c>
      <c r="M40" s="148" t="s">
        <v>2083</v>
      </c>
      <c r="N40" s="162" t="s">
        <v>1948</v>
      </c>
      <c r="O40" s="148"/>
      <c r="P40" s="148"/>
      <c r="Q40" s="148"/>
      <c r="R40" s="1"/>
      <c r="T40" s="1"/>
      <c r="U40" s="1"/>
      <c r="V40" s="1"/>
      <c r="W40" s="1"/>
    </row>
    <row r="41" spans="1:23" ht="15" customHeight="1">
      <c r="A41" s="34" t="s">
        <v>2074</v>
      </c>
      <c r="B41" s="5">
        <v>1425</v>
      </c>
      <c r="C41" s="34" t="s">
        <v>2076</v>
      </c>
      <c r="D41" s="6">
        <v>45996</v>
      </c>
      <c r="E41" s="34" t="s">
        <v>19</v>
      </c>
      <c r="F41" s="34" t="s">
        <v>1256</v>
      </c>
      <c r="G41" s="34" t="s">
        <v>2072</v>
      </c>
      <c r="H41" s="34" t="s">
        <v>1774</v>
      </c>
      <c r="I41" s="34" t="s">
        <v>1248</v>
      </c>
      <c r="J41" s="193" t="s">
        <v>34</v>
      </c>
      <c r="K41" s="34" t="s">
        <v>820</v>
      </c>
      <c r="L41" s="171" t="s">
        <v>2089</v>
      </c>
      <c r="M41" s="148"/>
      <c r="N41" s="154" t="s">
        <v>1919</v>
      </c>
      <c r="O41" s="173" t="s">
        <v>2101</v>
      </c>
      <c r="P41" s="148"/>
      <c r="Q41" s="154" t="s">
        <v>1919</v>
      </c>
      <c r="R41" s="1"/>
      <c r="T41" s="1"/>
      <c r="U41" s="1"/>
      <c r="V41" s="1"/>
      <c r="W41" s="1"/>
    </row>
    <row r="42" spans="1:23" ht="15" customHeight="1">
      <c r="A42" s="34" t="s">
        <v>2073</v>
      </c>
      <c r="B42" s="5">
        <v>1427</v>
      </c>
      <c r="C42" s="34" t="s">
        <v>2076</v>
      </c>
      <c r="D42" s="6">
        <v>45996</v>
      </c>
      <c r="E42" s="34" t="s">
        <v>2077</v>
      </c>
      <c r="F42" s="34" t="s">
        <v>2078</v>
      </c>
      <c r="G42" s="5"/>
      <c r="H42" s="34" t="s">
        <v>1774</v>
      </c>
      <c r="I42" s="34" t="s">
        <v>2081</v>
      </c>
      <c r="J42" s="74" t="s">
        <v>50</v>
      </c>
      <c r="K42" s="34" t="s">
        <v>51</v>
      </c>
      <c r="L42" s="171" t="s">
        <v>2090</v>
      </c>
      <c r="M42" s="148" t="s">
        <v>2082</v>
      </c>
      <c r="N42" s="152" t="s">
        <v>1918</v>
      </c>
      <c r="O42" s="151"/>
      <c r="P42" s="151"/>
      <c r="Q42" s="151"/>
      <c r="R42" s="1"/>
      <c r="T42" s="1"/>
      <c r="U42" s="1"/>
      <c r="V42" s="1"/>
      <c r="W42" s="1"/>
    </row>
    <row r="43" spans="1:23" ht="15" customHeight="1">
      <c r="A43" s="5" t="s">
        <v>2065</v>
      </c>
      <c r="B43" s="143"/>
      <c r="C43" s="5" t="s">
        <v>1269</v>
      </c>
      <c r="D43" s="6">
        <v>45995</v>
      </c>
      <c r="E43" s="5" t="s">
        <v>25</v>
      </c>
      <c r="F43" s="5" t="s">
        <v>1334</v>
      </c>
      <c r="G43" s="5" t="s">
        <v>2067</v>
      </c>
      <c r="H43" s="5" t="s">
        <v>899</v>
      </c>
      <c r="I43" s="5"/>
      <c r="J43" s="193" t="s">
        <v>34</v>
      </c>
      <c r="K43" s="34" t="s">
        <v>820</v>
      </c>
      <c r="L43" s="171" t="s">
        <v>2068</v>
      </c>
      <c r="M43" s="151"/>
      <c r="N43" s="152" t="s">
        <v>1918</v>
      </c>
      <c r="O43" s="151"/>
      <c r="P43" s="151"/>
      <c r="Q43" s="151"/>
      <c r="R43" s="1"/>
      <c r="T43" s="1"/>
      <c r="U43" s="1"/>
      <c r="V43" s="1"/>
      <c r="W43" s="1"/>
    </row>
    <row r="44" spans="1:23" ht="15" customHeight="1">
      <c r="A44" s="5" t="s">
        <v>2064</v>
      </c>
      <c r="B44" s="143"/>
      <c r="C44" s="5" t="s">
        <v>1269</v>
      </c>
      <c r="D44" s="6">
        <v>45995</v>
      </c>
      <c r="E44" s="5" t="s">
        <v>25</v>
      </c>
      <c r="F44" s="5" t="s">
        <v>1334</v>
      </c>
      <c r="G44" s="5" t="s">
        <v>2066</v>
      </c>
      <c r="H44" s="5" t="s">
        <v>899</v>
      </c>
      <c r="I44" s="5"/>
      <c r="J44" s="193" t="s">
        <v>34</v>
      </c>
      <c r="K44" s="34" t="s">
        <v>820</v>
      </c>
      <c r="L44" s="171" t="s">
        <v>2068</v>
      </c>
      <c r="M44" s="151"/>
      <c r="N44" s="162" t="s">
        <v>1948</v>
      </c>
      <c r="O44" s="151"/>
      <c r="P44" s="151"/>
      <c r="Q44" s="151"/>
      <c r="R44" s="1"/>
      <c r="T44" s="1"/>
      <c r="U44" s="1"/>
      <c r="V44" s="1"/>
      <c r="W44" s="1"/>
    </row>
    <row r="45" spans="1:23" ht="15" customHeight="1">
      <c r="A45" s="5" t="s">
        <v>2059</v>
      </c>
      <c r="B45" s="5">
        <v>1430</v>
      </c>
      <c r="C45" s="5" t="s">
        <v>2060</v>
      </c>
      <c r="D45" s="6">
        <v>45995</v>
      </c>
      <c r="E45" s="5" t="s">
        <v>19</v>
      </c>
      <c r="F45" s="5" t="s">
        <v>2061</v>
      </c>
      <c r="G45" s="5" t="s">
        <v>2062</v>
      </c>
      <c r="H45" s="5" t="s">
        <v>2063</v>
      </c>
      <c r="I45" s="5"/>
      <c r="J45" s="36" t="s">
        <v>1831</v>
      </c>
      <c r="K45" s="5"/>
      <c r="L45" s="171" t="s">
        <v>2091</v>
      </c>
      <c r="M45" s="148" t="s">
        <v>2122</v>
      </c>
      <c r="N45" s="154" t="s">
        <v>1919</v>
      </c>
      <c r="O45" s="151"/>
      <c r="P45" s="151"/>
      <c r="Q45" s="151"/>
      <c r="R45" s="1"/>
      <c r="T45" s="1"/>
      <c r="U45" s="1"/>
      <c r="V45" s="1"/>
      <c r="W45" s="1"/>
    </row>
    <row r="46" spans="1:23" ht="15" customHeight="1">
      <c r="A46" s="34" t="s">
        <v>2054</v>
      </c>
      <c r="B46" s="5"/>
      <c r="C46" s="34" t="s">
        <v>2055</v>
      </c>
      <c r="D46" s="6">
        <v>45995</v>
      </c>
      <c r="E46" s="34" t="s">
        <v>19</v>
      </c>
      <c r="F46" s="34" t="s">
        <v>2070</v>
      </c>
      <c r="G46" s="5"/>
      <c r="H46" s="34" t="s">
        <v>2056</v>
      </c>
      <c r="I46" s="5"/>
      <c r="J46" s="194" t="s">
        <v>16</v>
      </c>
      <c r="K46" s="199" t="s">
        <v>2188</v>
      </c>
      <c r="L46" s="171" t="s">
        <v>2058</v>
      </c>
      <c r="M46" s="151" t="s">
        <v>2069</v>
      </c>
      <c r="N46" s="152" t="s">
        <v>1918</v>
      </c>
      <c r="O46" s="151"/>
      <c r="P46" s="151"/>
      <c r="Q46" s="151"/>
      <c r="R46" s="1"/>
      <c r="T46" s="1"/>
      <c r="U46" s="1"/>
      <c r="V46" s="1"/>
      <c r="W46" s="1"/>
    </row>
    <row r="47" spans="1:23" ht="15" customHeight="1">
      <c r="A47" s="34" t="s">
        <v>2053</v>
      </c>
      <c r="B47" s="5"/>
      <c r="C47" s="34" t="s">
        <v>2055</v>
      </c>
      <c r="D47" s="6">
        <v>45995</v>
      </c>
      <c r="E47" s="34" t="s">
        <v>19</v>
      </c>
      <c r="F47" s="34" t="s">
        <v>2071</v>
      </c>
      <c r="G47" s="5"/>
      <c r="H47" s="34" t="s">
        <v>2057</v>
      </c>
      <c r="I47" s="5"/>
      <c r="J47" s="194" t="s">
        <v>16</v>
      </c>
      <c r="K47" s="201"/>
      <c r="L47" s="171" t="s">
        <v>2058</v>
      </c>
      <c r="M47" s="151" t="s">
        <v>2069</v>
      </c>
      <c r="N47" s="162" t="s">
        <v>1948</v>
      </c>
      <c r="O47" s="151"/>
      <c r="P47" s="151"/>
      <c r="Q47" s="151"/>
      <c r="R47" s="1"/>
      <c r="T47" s="1"/>
      <c r="U47" s="1"/>
      <c r="V47" s="1"/>
      <c r="W47" s="1"/>
    </row>
    <row r="48" spans="1:23" ht="15" customHeight="1">
      <c r="A48" s="5">
        <v>1042</v>
      </c>
      <c r="B48" s="143"/>
      <c r="C48" s="5" t="s">
        <v>2046</v>
      </c>
      <c r="D48" s="6">
        <v>45994</v>
      </c>
      <c r="E48" s="5" t="s">
        <v>478</v>
      </c>
      <c r="F48" s="5" t="s">
        <v>2047</v>
      </c>
      <c r="G48" s="5" t="s">
        <v>2048</v>
      </c>
      <c r="H48" s="5" t="s">
        <v>2049</v>
      </c>
      <c r="I48" s="5" t="s">
        <v>2050</v>
      </c>
      <c r="J48" s="193" t="s">
        <v>34</v>
      </c>
      <c r="K48" s="34" t="s">
        <v>820</v>
      </c>
      <c r="L48" s="168"/>
      <c r="M48" s="151"/>
      <c r="N48" s="151"/>
      <c r="O48" s="173" t="s">
        <v>2052</v>
      </c>
      <c r="P48" s="148" t="s">
        <v>2051</v>
      </c>
      <c r="Q48" s="162" t="s">
        <v>1948</v>
      </c>
      <c r="R48" s="1"/>
      <c r="T48" s="1"/>
      <c r="U48" s="1"/>
      <c r="V48" s="1"/>
      <c r="W48" s="1"/>
    </row>
    <row r="49" spans="1:23" ht="15" customHeight="1">
      <c r="A49" s="5">
        <v>1041</v>
      </c>
      <c r="B49" s="5">
        <v>1421</v>
      </c>
      <c r="C49" s="34" t="s">
        <v>2032</v>
      </c>
      <c r="D49" s="34" t="s">
        <v>2023</v>
      </c>
      <c r="E49" s="34" t="s">
        <v>25</v>
      </c>
      <c r="F49" s="34" t="s">
        <v>300</v>
      </c>
      <c r="G49" s="34" t="s">
        <v>2033</v>
      </c>
      <c r="H49" s="34" t="s">
        <v>2034</v>
      </c>
      <c r="I49" s="34" t="s">
        <v>2035</v>
      </c>
      <c r="J49" s="74" t="s">
        <v>50</v>
      </c>
      <c r="K49" s="34" t="s">
        <v>51</v>
      </c>
      <c r="L49" s="171" t="s">
        <v>2038</v>
      </c>
      <c r="M49" s="151"/>
      <c r="N49" s="152" t="s">
        <v>1918</v>
      </c>
      <c r="O49" s="148"/>
      <c r="P49" s="148"/>
      <c r="Q49" s="148"/>
      <c r="R49" s="1"/>
      <c r="T49" s="1"/>
      <c r="U49" s="1"/>
      <c r="V49" s="1"/>
      <c r="W49" s="1"/>
    </row>
    <row r="50" spans="1:23" ht="15" customHeight="1">
      <c r="A50" s="5">
        <v>1040</v>
      </c>
      <c r="B50" s="5">
        <v>1423</v>
      </c>
      <c r="C50" s="34" t="s">
        <v>2026</v>
      </c>
      <c r="D50" s="34" t="s">
        <v>2023</v>
      </c>
      <c r="E50" s="34" t="s">
        <v>25</v>
      </c>
      <c r="F50" s="34" t="s">
        <v>2027</v>
      </c>
      <c r="G50" s="5"/>
      <c r="H50" s="34" t="s">
        <v>1774</v>
      </c>
      <c r="I50" s="34" t="s">
        <v>2028</v>
      </c>
      <c r="J50" s="74" t="s">
        <v>50</v>
      </c>
      <c r="K50" s="34" t="s">
        <v>51</v>
      </c>
      <c r="L50" s="171" t="s">
        <v>2029</v>
      </c>
      <c r="M50" s="151" t="s">
        <v>2040</v>
      </c>
      <c r="N50" s="152" t="s">
        <v>1918</v>
      </c>
      <c r="O50" s="151"/>
      <c r="P50" s="151"/>
      <c r="Q50" s="151"/>
      <c r="R50" s="1"/>
      <c r="T50" s="1"/>
      <c r="U50" s="1"/>
      <c r="V50" s="1"/>
      <c r="W50" s="1"/>
    </row>
    <row r="51" spans="1:23" ht="15" customHeight="1">
      <c r="A51" s="5">
        <v>1039</v>
      </c>
      <c r="B51" s="5">
        <v>1422</v>
      </c>
      <c r="C51" s="34" t="s">
        <v>2022</v>
      </c>
      <c r="D51" s="34" t="s">
        <v>2023</v>
      </c>
      <c r="E51" s="34" t="s">
        <v>25</v>
      </c>
      <c r="F51" s="34" t="s">
        <v>2024</v>
      </c>
      <c r="G51" s="34" t="s">
        <v>2025</v>
      </c>
      <c r="H51" s="34" t="s">
        <v>1774</v>
      </c>
      <c r="I51" s="34" t="s">
        <v>1182</v>
      </c>
      <c r="J51" s="74" t="s">
        <v>50</v>
      </c>
      <c r="K51" s="34" t="s">
        <v>51</v>
      </c>
      <c r="L51" s="171" t="s">
        <v>2039</v>
      </c>
      <c r="M51" s="151"/>
      <c r="N51" s="162" t="s">
        <v>1948</v>
      </c>
      <c r="O51" s="151"/>
      <c r="P51" s="151"/>
      <c r="Q51" s="151"/>
      <c r="R51" s="1"/>
      <c r="T51" s="1"/>
      <c r="U51" s="1"/>
      <c r="V51" s="1"/>
      <c r="W51" s="1"/>
    </row>
    <row r="52" spans="1:23" ht="15" customHeight="1">
      <c r="A52" s="5">
        <v>1037</v>
      </c>
      <c r="B52" s="5">
        <v>1419</v>
      </c>
      <c r="C52" s="34" t="s">
        <v>2005</v>
      </c>
      <c r="D52" s="6">
        <v>45989</v>
      </c>
      <c r="E52" s="34" t="s">
        <v>25</v>
      </c>
      <c r="F52" s="34" t="s">
        <v>2006</v>
      </c>
      <c r="G52" s="34" t="s">
        <v>2014</v>
      </c>
      <c r="H52" s="34" t="s">
        <v>2007</v>
      </c>
      <c r="I52" s="34" t="s">
        <v>2008</v>
      </c>
      <c r="J52" s="193" t="s">
        <v>34</v>
      </c>
      <c r="K52" s="34" t="s">
        <v>820</v>
      </c>
      <c r="L52" s="169" t="s">
        <v>2011</v>
      </c>
      <c r="M52" s="151"/>
      <c r="N52" s="154" t="s">
        <v>1919</v>
      </c>
      <c r="O52" s="173" t="s">
        <v>2112</v>
      </c>
      <c r="P52" s="151"/>
      <c r="Q52" s="178" t="s">
        <v>2087</v>
      </c>
      <c r="R52" s="1"/>
      <c r="T52" s="1"/>
      <c r="U52" s="1"/>
      <c r="V52" s="1"/>
      <c r="W52" s="1"/>
    </row>
    <row r="53" spans="1:23" ht="15" customHeight="1">
      <c r="A53" s="5">
        <v>1038</v>
      </c>
      <c r="B53" s="143"/>
      <c r="C53" s="34" t="s">
        <v>2000</v>
      </c>
      <c r="D53" s="6">
        <v>45989</v>
      </c>
      <c r="E53" s="34" t="s">
        <v>25</v>
      </c>
      <c r="F53" s="34" t="s">
        <v>2001</v>
      </c>
      <c r="G53" s="34" t="s">
        <v>1716</v>
      </c>
      <c r="H53" s="34" t="s">
        <v>2002</v>
      </c>
      <c r="I53" s="34" t="s">
        <v>2003</v>
      </c>
      <c r="J53" s="193" t="s">
        <v>34</v>
      </c>
      <c r="K53" s="34" t="s">
        <v>820</v>
      </c>
      <c r="L53" s="169" t="s">
        <v>2004</v>
      </c>
      <c r="M53" s="148" t="s">
        <v>2010</v>
      </c>
      <c r="N53" s="154" t="s">
        <v>1919</v>
      </c>
      <c r="O53" s="153" t="s">
        <v>2012</v>
      </c>
      <c r="P53" s="151"/>
      <c r="Q53" s="154" t="s">
        <v>1919</v>
      </c>
      <c r="R53" s="1"/>
      <c r="T53" s="1"/>
      <c r="U53" s="1"/>
      <c r="V53" s="1"/>
      <c r="W53" s="1"/>
    </row>
    <row r="54" spans="1:23" ht="15" customHeight="1">
      <c r="A54" s="34" t="s">
        <v>1938</v>
      </c>
      <c r="B54" s="5">
        <v>1415</v>
      </c>
      <c r="C54" s="34" t="s">
        <v>1941</v>
      </c>
      <c r="D54" s="5"/>
      <c r="E54" s="34" t="s">
        <v>25</v>
      </c>
      <c r="F54" s="34" t="s">
        <v>1942</v>
      </c>
      <c r="G54" s="34" t="s">
        <v>1946</v>
      </c>
      <c r="H54" s="161" t="s">
        <v>1706</v>
      </c>
      <c r="I54" s="5"/>
      <c r="J54" s="74" t="s">
        <v>50</v>
      </c>
      <c r="K54" s="34" t="s">
        <v>51</v>
      </c>
      <c r="L54" s="169" t="s">
        <v>1947</v>
      </c>
      <c r="M54" s="148" t="s">
        <v>1952</v>
      </c>
      <c r="N54" s="162" t="s">
        <v>1948</v>
      </c>
      <c r="O54" s="151"/>
      <c r="P54" s="151"/>
      <c r="Q54" s="151"/>
      <c r="R54" s="1"/>
      <c r="T54" s="1"/>
      <c r="U54" s="1"/>
      <c r="V54" s="1"/>
      <c r="W54" s="1"/>
    </row>
    <row r="55" spans="1:23" ht="15" customHeight="1">
      <c r="A55" s="34" t="s">
        <v>1939</v>
      </c>
      <c r="B55" s="5">
        <v>1417</v>
      </c>
      <c r="C55" s="34" t="s">
        <v>1941</v>
      </c>
      <c r="D55" s="5"/>
      <c r="E55" s="34" t="s">
        <v>25</v>
      </c>
      <c r="F55" s="34" t="s">
        <v>1942</v>
      </c>
      <c r="G55" s="34" t="s">
        <v>1945</v>
      </c>
      <c r="H55" s="161" t="s">
        <v>1706</v>
      </c>
      <c r="I55" s="5"/>
      <c r="J55" s="74" t="s">
        <v>50</v>
      </c>
      <c r="K55" s="34" t="s">
        <v>51</v>
      </c>
      <c r="L55" s="169" t="s">
        <v>1953</v>
      </c>
      <c r="M55" s="148" t="s">
        <v>1954</v>
      </c>
      <c r="N55" s="152" t="s">
        <v>1918</v>
      </c>
      <c r="O55" s="151"/>
      <c r="P55" s="151"/>
      <c r="Q55" s="151"/>
      <c r="R55" s="1"/>
      <c r="T55" s="1"/>
      <c r="U55" s="1"/>
      <c r="V55" s="1"/>
      <c r="W55" s="1"/>
    </row>
    <row r="56" spans="1:23" ht="15" customHeight="1">
      <c r="A56" s="34" t="s">
        <v>1937</v>
      </c>
      <c r="B56" s="5">
        <v>1420</v>
      </c>
      <c r="C56" s="34" t="s">
        <v>1940</v>
      </c>
      <c r="D56" s="5"/>
      <c r="E56" s="34" t="s">
        <v>25</v>
      </c>
      <c r="F56" s="34" t="s">
        <v>1942</v>
      </c>
      <c r="G56" s="34" t="s">
        <v>1944</v>
      </c>
      <c r="H56" s="161" t="s">
        <v>1706</v>
      </c>
      <c r="I56" s="5"/>
      <c r="J56" s="74" t="s">
        <v>50</v>
      </c>
      <c r="K56" s="34" t="s">
        <v>51</v>
      </c>
      <c r="L56" s="171" t="s">
        <v>2015</v>
      </c>
      <c r="M56" s="151"/>
      <c r="N56" s="154" t="s">
        <v>1919</v>
      </c>
      <c r="O56" s="151"/>
      <c r="P56" s="151"/>
      <c r="Q56" s="151"/>
      <c r="R56" s="1"/>
      <c r="T56" s="1"/>
      <c r="U56" s="1"/>
      <c r="V56" s="1"/>
      <c r="W56" s="1"/>
    </row>
    <row r="57" spans="1:23" ht="15" customHeight="1">
      <c r="A57" s="34" t="s">
        <v>1936</v>
      </c>
      <c r="B57" s="5">
        <v>1416</v>
      </c>
      <c r="C57" s="34" t="s">
        <v>1940</v>
      </c>
      <c r="D57" s="5"/>
      <c r="E57" s="34" t="s">
        <v>25</v>
      </c>
      <c r="F57" s="34" t="s">
        <v>1942</v>
      </c>
      <c r="G57" s="34" t="s">
        <v>1943</v>
      </c>
      <c r="H57" s="161" t="s">
        <v>1706</v>
      </c>
      <c r="I57" s="5"/>
      <c r="J57" s="74" t="s">
        <v>50</v>
      </c>
      <c r="K57" s="34" t="s">
        <v>51</v>
      </c>
      <c r="L57" s="169" t="s">
        <v>1950</v>
      </c>
      <c r="M57" s="148" t="s">
        <v>1951</v>
      </c>
      <c r="N57" s="154" t="s">
        <v>1919</v>
      </c>
      <c r="O57" s="151"/>
      <c r="P57" s="151"/>
      <c r="Q57" s="151"/>
      <c r="R57" s="1"/>
      <c r="T57" s="1"/>
      <c r="U57" s="1"/>
      <c r="V57" s="1"/>
      <c r="W57" s="1"/>
    </row>
    <row r="58" spans="1:23" ht="15" customHeight="1">
      <c r="A58" s="5" t="s">
        <v>1928</v>
      </c>
      <c r="B58" s="5">
        <v>1414</v>
      </c>
      <c r="C58" s="5" t="s">
        <v>581</v>
      </c>
      <c r="D58" s="5" t="s">
        <v>1929</v>
      </c>
      <c r="E58" s="34" t="s">
        <v>25</v>
      </c>
      <c r="F58" s="5" t="s">
        <v>1930</v>
      </c>
      <c r="G58" s="5"/>
      <c r="H58" s="5" t="s">
        <v>1932</v>
      </c>
      <c r="I58" s="5" t="s">
        <v>1931</v>
      </c>
      <c r="J58" s="74" t="s">
        <v>50</v>
      </c>
      <c r="K58" s="34" t="s">
        <v>51</v>
      </c>
      <c r="L58" s="170"/>
      <c r="M58" s="151"/>
      <c r="N58" s="151"/>
      <c r="O58" s="151"/>
      <c r="P58" s="151"/>
      <c r="Q58" s="151"/>
      <c r="R58" s="1"/>
      <c r="T58" s="1"/>
      <c r="U58" s="1"/>
      <c r="V58" s="1"/>
      <c r="W58" s="1"/>
    </row>
    <row r="59" spans="1:23" ht="15" customHeight="1">
      <c r="A59" s="5">
        <v>1036</v>
      </c>
      <c r="B59" s="5">
        <v>1413</v>
      </c>
      <c r="C59" s="34" t="s">
        <v>1307</v>
      </c>
      <c r="D59" s="6">
        <v>45983</v>
      </c>
      <c r="E59" s="34" t="s">
        <v>25</v>
      </c>
      <c r="F59" s="34" t="s">
        <v>918</v>
      </c>
      <c r="G59" s="5"/>
      <c r="H59" s="34" t="s">
        <v>1774</v>
      </c>
      <c r="I59" s="34" t="s">
        <v>1893</v>
      </c>
      <c r="J59" s="193" t="s">
        <v>34</v>
      </c>
      <c r="K59" s="34" t="s">
        <v>297</v>
      </c>
      <c r="L59" s="169" t="s">
        <v>1913</v>
      </c>
      <c r="M59" s="151" t="s">
        <v>1917</v>
      </c>
      <c r="N59" s="152" t="s">
        <v>1918</v>
      </c>
      <c r="O59" s="151"/>
      <c r="P59" s="151"/>
      <c r="Q59" s="151"/>
      <c r="R59" s="1"/>
      <c r="T59" s="1"/>
      <c r="U59" s="1"/>
      <c r="V59" s="1"/>
      <c r="W59" s="1"/>
    </row>
    <row r="60" spans="1:23" ht="15" customHeight="1">
      <c r="A60" s="5">
        <v>1035</v>
      </c>
      <c r="B60" s="5">
        <v>1410</v>
      </c>
      <c r="C60" s="34" t="s">
        <v>1890</v>
      </c>
      <c r="D60" s="6">
        <v>45982</v>
      </c>
      <c r="E60" s="34" t="s">
        <v>25</v>
      </c>
      <c r="F60" s="34" t="s">
        <v>1891</v>
      </c>
      <c r="G60" s="5"/>
      <c r="H60" s="34" t="s">
        <v>1892</v>
      </c>
      <c r="I60" s="5"/>
      <c r="J60" s="193" t="s">
        <v>34</v>
      </c>
      <c r="K60" s="34" t="s">
        <v>820</v>
      </c>
      <c r="L60" s="170"/>
      <c r="M60" s="151"/>
      <c r="N60" s="151"/>
      <c r="O60" s="151"/>
      <c r="P60" s="151"/>
      <c r="Q60" s="151"/>
      <c r="R60" s="1"/>
      <c r="T60" s="1"/>
      <c r="U60" s="1"/>
      <c r="V60" s="1"/>
      <c r="W60" s="1"/>
    </row>
    <row r="61" spans="1:23" ht="15" customHeight="1">
      <c r="A61" s="5">
        <v>1034</v>
      </c>
      <c r="B61" s="5">
        <v>1412</v>
      </c>
      <c r="C61" s="34" t="s">
        <v>512</v>
      </c>
      <c r="D61" s="6">
        <v>45982</v>
      </c>
      <c r="E61" s="34" t="s">
        <v>25</v>
      </c>
      <c r="F61" s="34" t="s">
        <v>1888</v>
      </c>
      <c r="G61" s="34" t="s">
        <v>1119</v>
      </c>
      <c r="H61" s="34" t="s">
        <v>1774</v>
      </c>
      <c r="I61" s="34" t="s">
        <v>1889</v>
      </c>
      <c r="J61" s="195" t="s">
        <v>96</v>
      </c>
      <c r="K61" s="34" t="s">
        <v>2084</v>
      </c>
      <c r="L61" s="170"/>
      <c r="M61" s="151"/>
      <c r="N61" s="151"/>
      <c r="O61" s="173" t="s">
        <v>2085</v>
      </c>
      <c r="P61" s="151"/>
      <c r="Q61" s="178" t="s">
        <v>2087</v>
      </c>
      <c r="R61" s="1"/>
      <c r="T61" s="1"/>
      <c r="U61" s="1"/>
      <c r="V61" s="1"/>
      <c r="W61" s="1"/>
    </row>
    <row r="62" spans="1:23" ht="15" customHeight="1">
      <c r="A62" s="5">
        <v>1033</v>
      </c>
      <c r="B62" s="5">
        <v>1409</v>
      </c>
      <c r="C62" s="34" t="s">
        <v>1884</v>
      </c>
      <c r="D62" s="6">
        <v>45980</v>
      </c>
      <c r="E62" s="34" t="s">
        <v>478</v>
      </c>
      <c r="F62" s="34" t="s">
        <v>1885</v>
      </c>
      <c r="G62" s="5"/>
      <c r="H62" s="34" t="s">
        <v>1886</v>
      </c>
      <c r="I62" s="34" t="s">
        <v>1887</v>
      </c>
      <c r="J62" s="193" t="s">
        <v>34</v>
      </c>
      <c r="K62" s="34" t="s">
        <v>820</v>
      </c>
      <c r="L62" s="170"/>
      <c r="M62" s="151"/>
      <c r="N62" s="151"/>
      <c r="O62" s="151"/>
      <c r="P62" s="151"/>
      <c r="Q62" s="151"/>
      <c r="R62" s="1"/>
      <c r="T62" s="1"/>
      <c r="U62" s="1"/>
      <c r="V62" s="1"/>
      <c r="W62" s="1"/>
    </row>
    <row r="63" spans="1:23" ht="15" customHeight="1">
      <c r="A63" s="5">
        <v>1032</v>
      </c>
      <c r="B63" s="5">
        <v>1408</v>
      </c>
      <c r="C63" s="34" t="s">
        <v>1880</v>
      </c>
      <c r="D63" s="6">
        <v>45980</v>
      </c>
      <c r="E63" s="34" t="s">
        <v>1720</v>
      </c>
      <c r="F63" s="34" t="s">
        <v>1881</v>
      </c>
      <c r="G63" s="34" t="s">
        <v>1347</v>
      </c>
      <c r="H63" s="34" t="s">
        <v>1882</v>
      </c>
      <c r="I63" s="34" t="s">
        <v>1883</v>
      </c>
      <c r="J63" s="193" t="s">
        <v>34</v>
      </c>
      <c r="K63" s="34" t="s">
        <v>1908</v>
      </c>
      <c r="L63" s="170"/>
      <c r="M63" s="151"/>
      <c r="N63" s="151"/>
      <c r="O63" s="153" t="s">
        <v>1960</v>
      </c>
      <c r="P63" s="148" t="s">
        <v>1961</v>
      </c>
      <c r="Q63" s="152" t="s">
        <v>1918</v>
      </c>
      <c r="R63" s="1"/>
      <c r="T63" s="1"/>
      <c r="U63" s="1"/>
      <c r="V63" s="1"/>
      <c r="W63" s="1"/>
    </row>
    <row r="64" spans="1:23" ht="15" customHeight="1">
      <c r="A64" s="5">
        <v>1031</v>
      </c>
      <c r="B64" s="5">
        <v>1407</v>
      </c>
      <c r="C64" s="34" t="s">
        <v>1875</v>
      </c>
      <c r="D64" s="6">
        <v>45980</v>
      </c>
      <c r="E64" s="34" t="s">
        <v>1876</v>
      </c>
      <c r="F64" s="34" t="s">
        <v>1877</v>
      </c>
      <c r="G64" s="34" t="s">
        <v>1878</v>
      </c>
      <c r="H64" s="34" t="s">
        <v>1879</v>
      </c>
      <c r="I64" s="5"/>
      <c r="J64" s="193" t="s">
        <v>34</v>
      </c>
      <c r="K64" s="34" t="s">
        <v>297</v>
      </c>
      <c r="L64" s="170"/>
      <c r="M64" s="151"/>
      <c r="N64" s="151"/>
      <c r="O64" s="151"/>
      <c r="P64" s="151"/>
      <c r="Q64" s="151"/>
      <c r="R64" s="1"/>
      <c r="T64" s="1"/>
      <c r="U64" s="1"/>
      <c r="V64" s="1"/>
      <c r="W64" s="1"/>
    </row>
    <row r="65" spans="1:23" ht="15" customHeight="1">
      <c r="A65" s="34" t="s">
        <v>1870</v>
      </c>
      <c r="B65" s="5">
        <v>1411</v>
      </c>
      <c r="C65" s="34" t="s">
        <v>1871</v>
      </c>
      <c r="D65" s="6">
        <v>45979</v>
      </c>
      <c r="E65" s="34" t="s">
        <v>1872</v>
      </c>
      <c r="F65" s="34" t="s">
        <v>1873</v>
      </c>
      <c r="G65" s="5"/>
      <c r="H65" s="5"/>
      <c r="I65" s="5"/>
      <c r="J65" s="193" t="s">
        <v>34</v>
      </c>
      <c r="K65" s="34" t="s">
        <v>820</v>
      </c>
      <c r="L65" s="156"/>
      <c r="M65" s="151"/>
      <c r="N65" s="151"/>
      <c r="O65" s="153" t="s">
        <v>1999</v>
      </c>
      <c r="P65" s="151"/>
      <c r="Q65" s="152" t="s">
        <v>1918</v>
      </c>
      <c r="R65" s="1"/>
      <c r="T65" s="1"/>
      <c r="U65" s="1"/>
      <c r="V65" s="1"/>
      <c r="W65" s="1"/>
    </row>
    <row r="66" spans="1:23" ht="15" customHeight="1">
      <c r="A66" s="34" t="s">
        <v>1869</v>
      </c>
      <c r="B66" s="5">
        <v>1406</v>
      </c>
      <c r="C66" s="34" t="s">
        <v>1871</v>
      </c>
      <c r="D66" s="6">
        <v>45979</v>
      </c>
      <c r="E66" s="34" t="s">
        <v>25</v>
      </c>
      <c r="F66" s="34" t="s">
        <v>1864</v>
      </c>
      <c r="G66" s="34" t="s">
        <v>1874</v>
      </c>
      <c r="H66" s="5"/>
      <c r="I66" s="5"/>
      <c r="J66" s="193" t="s">
        <v>34</v>
      </c>
      <c r="K66" s="34" t="s">
        <v>820</v>
      </c>
      <c r="L66" s="156"/>
      <c r="M66" s="151"/>
      <c r="N66" s="151"/>
      <c r="O66" s="151"/>
      <c r="P66" s="151"/>
      <c r="Q66" s="151"/>
      <c r="R66" s="1"/>
      <c r="T66" s="1"/>
      <c r="U66" s="1"/>
      <c r="V66" s="1"/>
      <c r="W66" s="1"/>
    </row>
    <row r="67" spans="1:23" ht="15" customHeight="1">
      <c r="A67" s="34" t="s">
        <v>1868</v>
      </c>
      <c r="B67" s="5">
        <v>1403</v>
      </c>
      <c r="C67" s="34" t="s">
        <v>1871</v>
      </c>
      <c r="D67" s="6">
        <v>45979</v>
      </c>
      <c r="E67" s="34" t="s">
        <v>25</v>
      </c>
      <c r="F67" s="34" t="s">
        <v>1226</v>
      </c>
      <c r="G67" s="34" t="s">
        <v>1863</v>
      </c>
      <c r="H67" s="5"/>
      <c r="I67" s="5"/>
      <c r="J67" s="47" t="s">
        <v>34</v>
      </c>
      <c r="K67" s="34" t="s">
        <v>820</v>
      </c>
      <c r="L67" s="156"/>
      <c r="M67" s="151"/>
      <c r="N67" s="151"/>
      <c r="O67" s="151"/>
      <c r="P67" s="151"/>
      <c r="Q67" s="151"/>
      <c r="R67" s="1"/>
      <c r="T67" s="1"/>
      <c r="U67" s="1"/>
      <c r="V67" s="1"/>
      <c r="W67" s="1"/>
    </row>
    <row r="68" spans="1:23" ht="15" customHeight="1">
      <c r="A68" s="5">
        <v>1029</v>
      </c>
      <c r="B68" s="5">
        <v>1402</v>
      </c>
      <c r="C68" s="34" t="s">
        <v>1865</v>
      </c>
      <c r="D68" s="6">
        <v>45978</v>
      </c>
      <c r="E68" s="34" t="s">
        <v>25</v>
      </c>
      <c r="F68" s="34" t="s">
        <v>1849</v>
      </c>
      <c r="G68" s="34" t="s">
        <v>1862</v>
      </c>
      <c r="H68" s="34" t="s">
        <v>1866</v>
      </c>
      <c r="I68" s="34" t="s">
        <v>1867</v>
      </c>
      <c r="J68" s="47" t="s">
        <v>34</v>
      </c>
      <c r="K68" s="34" t="s">
        <v>820</v>
      </c>
      <c r="L68" s="156"/>
      <c r="M68" s="151"/>
      <c r="N68" s="151"/>
      <c r="O68" s="151"/>
      <c r="P68" s="151"/>
      <c r="Q68" s="151"/>
      <c r="R68" s="1"/>
      <c r="T68" s="1"/>
      <c r="U68" s="1"/>
      <c r="V68" s="1"/>
      <c r="W68" s="1"/>
    </row>
    <row r="69" spans="1:23" ht="15" customHeight="1">
      <c r="A69" s="5">
        <v>1028</v>
      </c>
      <c r="B69" s="5">
        <v>1401</v>
      </c>
      <c r="C69" s="34" t="s">
        <v>1854</v>
      </c>
      <c r="D69" s="6">
        <v>45974</v>
      </c>
      <c r="E69" s="34" t="s">
        <v>1855</v>
      </c>
      <c r="F69" s="34" t="s">
        <v>1856</v>
      </c>
      <c r="G69" s="5"/>
      <c r="H69" s="34" t="s">
        <v>1857</v>
      </c>
      <c r="I69" s="34" t="s">
        <v>1858</v>
      </c>
      <c r="J69" s="47" t="s">
        <v>34</v>
      </c>
      <c r="K69" s="34" t="s">
        <v>820</v>
      </c>
      <c r="L69" s="156"/>
      <c r="M69" s="151"/>
      <c r="N69" s="151"/>
      <c r="O69" s="153" t="s">
        <v>1925</v>
      </c>
      <c r="P69" s="151" t="s">
        <v>1926</v>
      </c>
      <c r="Q69" s="155" t="s">
        <v>1921</v>
      </c>
      <c r="R69" s="1"/>
      <c r="T69" s="1"/>
      <c r="U69" s="1"/>
      <c r="V69" s="1"/>
      <c r="W69" s="1"/>
    </row>
    <row r="70" spans="1:23" ht="15" customHeight="1">
      <c r="A70" s="5">
        <v>1027</v>
      </c>
      <c r="B70" s="5">
        <v>1402</v>
      </c>
      <c r="C70" s="34" t="s">
        <v>1242</v>
      </c>
      <c r="D70" s="6">
        <v>45972</v>
      </c>
      <c r="E70" s="34" t="s">
        <v>25</v>
      </c>
      <c r="F70" s="34" t="s">
        <v>300</v>
      </c>
      <c r="G70" s="34" t="s">
        <v>1852</v>
      </c>
      <c r="H70" s="34" t="s">
        <v>95</v>
      </c>
      <c r="I70" s="34" t="s">
        <v>1853</v>
      </c>
      <c r="J70" s="69" t="s">
        <v>50</v>
      </c>
      <c r="K70" s="34" t="s">
        <v>51</v>
      </c>
      <c r="L70" s="156"/>
      <c r="M70" s="151"/>
      <c r="N70" s="151"/>
      <c r="O70" s="151"/>
      <c r="P70" s="151"/>
      <c r="Q70" s="151"/>
      <c r="R70" s="1"/>
      <c r="T70" s="1"/>
      <c r="U70" s="1"/>
      <c r="V70" s="1"/>
      <c r="W70" s="1"/>
    </row>
    <row r="71" spans="1:23" ht="15" customHeight="1">
      <c r="A71" s="5">
        <v>1026</v>
      </c>
      <c r="B71" s="5">
        <v>1401</v>
      </c>
      <c r="C71" s="34" t="s">
        <v>1848</v>
      </c>
      <c r="D71" s="6">
        <v>45972</v>
      </c>
      <c r="E71" s="34" t="s">
        <v>25</v>
      </c>
      <c r="F71" s="34" t="s">
        <v>1849</v>
      </c>
      <c r="G71" s="34" t="s">
        <v>1850</v>
      </c>
      <c r="H71" s="34" t="s">
        <v>1851</v>
      </c>
      <c r="I71" s="34" t="s">
        <v>1010</v>
      </c>
      <c r="J71" s="47" t="s">
        <v>34</v>
      </c>
      <c r="K71" s="34" t="s">
        <v>297</v>
      </c>
      <c r="L71" s="156"/>
      <c r="M71" s="151"/>
      <c r="N71" s="151"/>
      <c r="O71" s="151"/>
      <c r="P71" s="151"/>
      <c r="Q71" s="151"/>
      <c r="R71" s="1"/>
      <c r="T71" s="1"/>
      <c r="U71" s="1"/>
      <c r="V71" s="1"/>
      <c r="W71" s="1"/>
    </row>
    <row r="72" spans="1:23" ht="15" customHeight="1">
      <c r="A72" s="5">
        <v>1025</v>
      </c>
      <c r="B72" s="5">
        <v>1399</v>
      </c>
      <c r="C72" s="34" t="s">
        <v>1844</v>
      </c>
      <c r="D72" s="6">
        <v>45971</v>
      </c>
      <c r="E72" s="34" t="s">
        <v>25</v>
      </c>
      <c r="F72" s="34" t="s">
        <v>1845</v>
      </c>
      <c r="G72" s="5"/>
      <c r="H72" s="34" t="s">
        <v>1846</v>
      </c>
      <c r="I72" s="34" t="s">
        <v>1847</v>
      </c>
      <c r="J72" s="47" t="s">
        <v>34</v>
      </c>
      <c r="K72" s="34" t="s">
        <v>297</v>
      </c>
      <c r="L72" s="156"/>
      <c r="M72" s="151"/>
      <c r="N72" s="151"/>
      <c r="O72" s="151"/>
      <c r="P72" s="151"/>
      <c r="Q72" s="151"/>
      <c r="R72" s="1"/>
      <c r="T72" s="1"/>
      <c r="U72" s="1"/>
      <c r="V72" s="1"/>
      <c r="W72" s="1"/>
    </row>
    <row r="73" spans="1:23" ht="15" customHeight="1">
      <c r="A73" s="34">
        <v>1024</v>
      </c>
      <c r="B73" s="34">
        <v>1400</v>
      </c>
      <c r="C73" s="34" t="s">
        <v>1832</v>
      </c>
      <c r="D73" s="41">
        <v>45971</v>
      </c>
      <c r="E73" s="34" t="s">
        <v>25</v>
      </c>
      <c r="F73" s="34" t="s">
        <v>1833</v>
      </c>
      <c r="G73" s="34"/>
      <c r="H73" s="34" t="s">
        <v>1842</v>
      </c>
      <c r="I73" s="34" t="s">
        <v>1843</v>
      </c>
      <c r="J73" s="47" t="s">
        <v>34</v>
      </c>
      <c r="K73" s="34" t="s">
        <v>820</v>
      </c>
      <c r="L73" s="156"/>
      <c r="M73" s="151"/>
      <c r="N73" s="151"/>
      <c r="O73" s="151"/>
      <c r="P73" s="151"/>
      <c r="Q73" s="151"/>
      <c r="R73" s="1"/>
      <c r="T73" s="1"/>
      <c r="U73" s="1"/>
      <c r="V73" s="1"/>
      <c r="W73" s="1"/>
    </row>
    <row r="74" spans="1:23" ht="15" customHeight="1">
      <c r="A74" s="34" t="s">
        <v>1859</v>
      </c>
      <c r="B74" s="34">
        <v>1394</v>
      </c>
      <c r="C74" s="34" t="s">
        <v>1828</v>
      </c>
      <c r="D74" s="41">
        <v>45967</v>
      </c>
      <c r="E74" s="34" t="s">
        <v>478</v>
      </c>
      <c r="F74" s="34" t="s">
        <v>1829</v>
      </c>
      <c r="G74" s="34" t="s">
        <v>1830</v>
      </c>
      <c r="H74" s="34"/>
      <c r="I74" s="34"/>
      <c r="J74" s="47" t="s">
        <v>34</v>
      </c>
      <c r="K74" s="34" t="s">
        <v>297</v>
      </c>
      <c r="L74" s="171" t="s">
        <v>2018</v>
      </c>
      <c r="M74" s="151" t="s">
        <v>2043</v>
      </c>
      <c r="N74" s="155" t="s">
        <v>2042</v>
      </c>
      <c r="O74" s="151"/>
      <c r="P74" s="151"/>
      <c r="Q74" s="151"/>
      <c r="R74" s="1"/>
      <c r="T74" s="1"/>
      <c r="U74" s="1"/>
      <c r="V74" s="1"/>
      <c r="W74" s="1"/>
    </row>
    <row r="75" spans="1:23" ht="15" customHeight="1">
      <c r="A75" s="34">
        <v>1022</v>
      </c>
      <c r="B75" s="34">
        <v>1398</v>
      </c>
      <c r="C75" s="34" t="s">
        <v>1724</v>
      </c>
      <c r="D75" s="41">
        <v>45967</v>
      </c>
      <c r="E75" s="34" t="s">
        <v>25</v>
      </c>
      <c r="F75" s="34" t="s">
        <v>1826</v>
      </c>
      <c r="G75" s="66" t="s">
        <v>1290</v>
      </c>
      <c r="H75" s="34" t="s">
        <v>1827</v>
      </c>
      <c r="I75" s="34"/>
      <c r="J75" s="47" t="s">
        <v>34</v>
      </c>
      <c r="K75" s="34" t="s">
        <v>820</v>
      </c>
      <c r="L75" s="156"/>
      <c r="M75" s="151"/>
      <c r="N75" s="151"/>
      <c r="O75" s="151"/>
      <c r="P75" s="151"/>
      <c r="Q75" s="151"/>
      <c r="R75" s="1"/>
      <c r="T75" s="1"/>
      <c r="U75" s="1"/>
      <c r="V75" s="1"/>
      <c r="W75" s="1"/>
    </row>
    <row r="76" spans="1:23" ht="15" customHeight="1">
      <c r="A76" s="34" t="s">
        <v>1860</v>
      </c>
      <c r="B76" s="34">
        <v>1394</v>
      </c>
      <c r="C76" s="34" t="s">
        <v>1828</v>
      </c>
      <c r="D76" s="41">
        <v>45966</v>
      </c>
      <c r="E76" s="34" t="s">
        <v>1816</v>
      </c>
      <c r="F76" s="34" t="s">
        <v>1822</v>
      </c>
      <c r="G76" s="34"/>
      <c r="H76" s="34" t="s">
        <v>1825</v>
      </c>
      <c r="I76" s="34"/>
      <c r="J76" s="47" t="s">
        <v>34</v>
      </c>
      <c r="K76" s="34" t="s">
        <v>820</v>
      </c>
      <c r="L76" s="156"/>
      <c r="M76" s="151"/>
      <c r="N76" s="151"/>
      <c r="O76" s="173" t="s">
        <v>2037</v>
      </c>
      <c r="P76" s="151" t="s">
        <v>2045</v>
      </c>
      <c r="Q76" s="155" t="s">
        <v>2044</v>
      </c>
      <c r="R76" s="1"/>
      <c r="T76" s="1"/>
      <c r="U76" s="1"/>
      <c r="V76" s="1"/>
      <c r="W76" s="1"/>
    </row>
    <row r="77" spans="1:23" ht="15" customHeight="1">
      <c r="A77" s="34" t="s">
        <v>1807</v>
      </c>
      <c r="B77" s="34">
        <v>1397</v>
      </c>
      <c r="C77" s="36" t="s">
        <v>1810</v>
      </c>
      <c r="D77" s="41">
        <v>45966</v>
      </c>
      <c r="E77" s="34" t="s">
        <v>1815</v>
      </c>
      <c r="F77" s="34" t="s">
        <v>1821</v>
      </c>
      <c r="G77" s="34">
        <v>306124076</v>
      </c>
      <c r="H77" s="34" t="s">
        <v>1825</v>
      </c>
      <c r="I77" s="34"/>
      <c r="J77" s="47" t="s">
        <v>34</v>
      </c>
      <c r="K77" s="34" t="s">
        <v>297</v>
      </c>
      <c r="L77" s="156"/>
      <c r="M77" s="151"/>
      <c r="N77" s="151"/>
      <c r="O77" s="151"/>
      <c r="P77" s="151"/>
      <c r="Q77" s="151"/>
      <c r="R77" s="1"/>
      <c r="T77" s="1"/>
      <c r="U77" s="1"/>
      <c r="V77" s="1"/>
      <c r="W77" s="1"/>
    </row>
    <row r="78" spans="1:23" ht="15" customHeight="1">
      <c r="A78" s="34" t="s">
        <v>1808</v>
      </c>
      <c r="B78" s="34">
        <v>1395</v>
      </c>
      <c r="C78" s="36" t="s">
        <v>1810</v>
      </c>
      <c r="D78" s="41">
        <v>45966</v>
      </c>
      <c r="E78" s="34" t="s">
        <v>1814</v>
      </c>
      <c r="F78" s="34" t="s">
        <v>1820</v>
      </c>
      <c r="G78" s="34">
        <v>10061037</v>
      </c>
      <c r="H78" s="34" t="s">
        <v>1774</v>
      </c>
      <c r="I78" s="34"/>
      <c r="J78" s="47" t="s">
        <v>34</v>
      </c>
      <c r="K78" s="34" t="s">
        <v>297</v>
      </c>
      <c r="L78" s="156"/>
      <c r="M78" s="151"/>
      <c r="N78" s="151"/>
      <c r="O78" s="151"/>
      <c r="P78" s="151"/>
      <c r="Q78" s="151"/>
      <c r="R78" s="1"/>
      <c r="T78" s="1"/>
      <c r="U78" s="1"/>
      <c r="V78" s="1"/>
      <c r="W78" s="1"/>
    </row>
    <row r="79" spans="1:23" ht="15" customHeight="1">
      <c r="A79" s="34" t="s">
        <v>1809</v>
      </c>
      <c r="B79" s="34">
        <v>1392</v>
      </c>
      <c r="C79" s="36" t="s">
        <v>1810</v>
      </c>
      <c r="D79" s="41">
        <v>45966</v>
      </c>
      <c r="E79" s="34" t="s">
        <v>1813</v>
      </c>
      <c r="F79" s="34" t="s">
        <v>1819</v>
      </c>
      <c r="G79" s="34" t="s">
        <v>1824</v>
      </c>
      <c r="H79" s="34" t="s">
        <v>1774</v>
      </c>
      <c r="I79" s="34"/>
      <c r="J79" s="47" t="s">
        <v>34</v>
      </c>
      <c r="K79" s="34" t="s">
        <v>297</v>
      </c>
      <c r="L79" s="156"/>
      <c r="M79" s="151"/>
      <c r="N79" s="151"/>
      <c r="O79" s="151"/>
      <c r="P79" s="151"/>
      <c r="Q79" s="151"/>
      <c r="R79" s="1"/>
      <c r="T79" s="1"/>
      <c r="U79" s="1"/>
      <c r="V79" s="1"/>
      <c r="W79" s="1"/>
    </row>
    <row r="80" spans="1:23" ht="15" customHeight="1">
      <c r="A80" s="34" t="s">
        <v>1806</v>
      </c>
      <c r="B80" s="34">
        <v>1393</v>
      </c>
      <c r="C80" s="36" t="s">
        <v>1810</v>
      </c>
      <c r="D80" s="41">
        <v>45966</v>
      </c>
      <c r="E80" s="34" t="s">
        <v>1812</v>
      </c>
      <c r="F80" s="34" t="s">
        <v>1818</v>
      </c>
      <c r="G80" s="34">
        <v>67506144</v>
      </c>
      <c r="H80" s="34" t="s">
        <v>1774</v>
      </c>
      <c r="I80" s="34"/>
      <c r="J80" s="47" t="s">
        <v>34</v>
      </c>
      <c r="K80" s="34" t="s">
        <v>297</v>
      </c>
      <c r="L80" s="156"/>
      <c r="M80" s="151"/>
      <c r="N80" s="151"/>
      <c r="O80" s="151"/>
      <c r="P80" s="151"/>
      <c r="Q80" s="151"/>
      <c r="R80" s="1"/>
      <c r="T80" s="1"/>
      <c r="U80" s="1"/>
      <c r="V80" s="1"/>
      <c r="W80" s="1"/>
    </row>
    <row r="81" spans="1:23" ht="15" customHeight="1">
      <c r="A81" s="34" t="s">
        <v>1805</v>
      </c>
      <c r="B81" s="34">
        <v>1396</v>
      </c>
      <c r="C81" s="36" t="s">
        <v>1810</v>
      </c>
      <c r="D81" s="41">
        <v>45966</v>
      </c>
      <c r="E81" s="34" t="s">
        <v>1811</v>
      </c>
      <c r="F81" s="34" t="s">
        <v>1817</v>
      </c>
      <c r="G81" s="34" t="s">
        <v>1823</v>
      </c>
      <c r="H81" s="34" t="s">
        <v>1774</v>
      </c>
      <c r="I81" s="34"/>
      <c r="J81" s="47" t="s">
        <v>34</v>
      </c>
      <c r="K81" s="34" t="s">
        <v>297</v>
      </c>
      <c r="L81" s="156"/>
      <c r="M81" s="151"/>
      <c r="N81" s="151"/>
      <c r="O81" s="151"/>
      <c r="P81" s="151"/>
      <c r="Q81" s="151"/>
      <c r="R81" s="1"/>
      <c r="T81" s="1"/>
      <c r="U81" s="1"/>
      <c r="V81" s="1"/>
      <c r="W81" s="1"/>
    </row>
    <row r="82" spans="1:23" ht="15" customHeight="1">
      <c r="A82" s="34" t="s">
        <v>1799</v>
      </c>
      <c r="B82" s="34">
        <v>1391</v>
      </c>
      <c r="C82" s="34" t="s">
        <v>28</v>
      </c>
      <c r="D82" s="41">
        <v>45966</v>
      </c>
      <c r="E82" s="34" t="s">
        <v>954</v>
      </c>
      <c r="F82" s="34" t="s">
        <v>1801</v>
      </c>
      <c r="G82" s="34">
        <v>2021110001</v>
      </c>
      <c r="H82" s="34" t="s">
        <v>1803</v>
      </c>
      <c r="I82" s="34" t="s">
        <v>1804</v>
      </c>
      <c r="J82" s="47" t="s">
        <v>34</v>
      </c>
      <c r="K82" s="34" t="s">
        <v>820</v>
      </c>
      <c r="L82" s="156"/>
      <c r="M82" s="151"/>
      <c r="N82" s="151"/>
      <c r="O82" s="153" t="s">
        <v>1913</v>
      </c>
      <c r="P82" s="151" t="s">
        <v>1920</v>
      </c>
      <c r="Q82" s="154" t="s">
        <v>1919</v>
      </c>
      <c r="R82" s="1"/>
      <c r="T82" s="1"/>
      <c r="U82" s="1"/>
      <c r="V82" s="1"/>
      <c r="W82" s="1"/>
    </row>
    <row r="83" spans="1:23" ht="15" customHeight="1">
      <c r="A83" s="34" t="s">
        <v>1798</v>
      </c>
      <c r="B83" s="34">
        <v>1390</v>
      </c>
      <c r="C83" s="34" t="s">
        <v>28</v>
      </c>
      <c r="D83" s="41">
        <v>45966</v>
      </c>
      <c r="E83" s="34" t="s">
        <v>954</v>
      </c>
      <c r="F83" s="34" t="s">
        <v>1800</v>
      </c>
      <c r="G83" s="34" t="s">
        <v>1802</v>
      </c>
      <c r="H83" s="34" t="s">
        <v>1803</v>
      </c>
      <c r="I83" s="34"/>
      <c r="J83" s="47" t="s">
        <v>34</v>
      </c>
      <c r="K83" s="34" t="s">
        <v>820</v>
      </c>
      <c r="L83" s="156"/>
      <c r="M83" s="151"/>
      <c r="N83" s="151"/>
      <c r="O83" s="153" t="s">
        <v>1924</v>
      </c>
      <c r="P83" s="151" t="s">
        <v>1922</v>
      </c>
      <c r="Q83" s="155" t="s">
        <v>1923</v>
      </c>
      <c r="R83" s="1"/>
      <c r="T83" s="1"/>
      <c r="U83" s="1"/>
      <c r="V83" s="1"/>
      <c r="W83" s="1"/>
    </row>
    <row r="84" spans="1:23" ht="15" customHeight="1">
      <c r="A84" s="34" t="s">
        <v>1792</v>
      </c>
      <c r="B84" s="34">
        <v>1389</v>
      </c>
      <c r="C84" s="34" t="s">
        <v>1793</v>
      </c>
      <c r="D84" s="34" t="s">
        <v>1789</v>
      </c>
      <c r="E84" s="34" t="s">
        <v>25</v>
      </c>
      <c r="F84" s="34" t="s">
        <v>1794</v>
      </c>
      <c r="G84" s="34" t="s">
        <v>775</v>
      </c>
      <c r="H84" s="34" t="s">
        <v>1795</v>
      </c>
      <c r="I84" s="34" t="s">
        <v>1796</v>
      </c>
      <c r="J84" s="47" t="s">
        <v>34</v>
      </c>
      <c r="K84" s="34" t="s">
        <v>820</v>
      </c>
      <c r="L84" s="156"/>
      <c r="M84" s="151"/>
      <c r="N84" s="151"/>
      <c r="O84" s="151"/>
      <c r="P84" s="151"/>
      <c r="Q84" s="151"/>
      <c r="R84" s="1"/>
      <c r="T84" s="1"/>
      <c r="U84" s="1"/>
      <c r="V84" s="1"/>
      <c r="W84" s="1"/>
    </row>
    <row r="85" spans="1:23" ht="15" customHeight="1">
      <c r="A85" s="34" t="s">
        <v>1788</v>
      </c>
      <c r="B85" s="143"/>
      <c r="C85" s="34" t="s">
        <v>1760</v>
      </c>
      <c r="D85" s="34" t="s">
        <v>1789</v>
      </c>
      <c r="E85" s="34" t="s">
        <v>19</v>
      </c>
      <c r="F85" s="34" t="s">
        <v>1763</v>
      </c>
      <c r="G85" s="34" t="s">
        <v>1790</v>
      </c>
      <c r="H85" s="34" t="s">
        <v>1774</v>
      </c>
      <c r="I85" s="34" t="s">
        <v>1010</v>
      </c>
      <c r="J85" s="47" t="s">
        <v>34</v>
      </c>
      <c r="K85" s="34" t="s">
        <v>820</v>
      </c>
      <c r="L85" s="156"/>
      <c r="M85" s="151"/>
      <c r="N85" s="151"/>
      <c r="O85" s="151"/>
      <c r="P85" s="151"/>
      <c r="Q85" s="151"/>
      <c r="R85" s="1"/>
      <c r="T85" s="1"/>
      <c r="U85" s="1"/>
      <c r="V85" s="1"/>
      <c r="W85" s="1"/>
    </row>
    <row r="86" spans="1:23" ht="15" customHeight="1">
      <c r="A86" s="34" t="s">
        <v>1787</v>
      </c>
      <c r="B86" s="143"/>
      <c r="C86" s="34" t="s">
        <v>1760</v>
      </c>
      <c r="D86" s="34" t="s">
        <v>1789</v>
      </c>
      <c r="E86" s="34" t="s">
        <v>19</v>
      </c>
      <c r="F86" s="34" t="s">
        <v>1763</v>
      </c>
      <c r="G86" s="34" t="s">
        <v>1791</v>
      </c>
      <c r="H86" s="34" t="s">
        <v>1774</v>
      </c>
      <c r="I86" s="34" t="s">
        <v>1010</v>
      </c>
      <c r="J86" s="47" t="s">
        <v>34</v>
      </c>
      <c r="K86" s="34" t="s">
        <v>820</v>
      </c>
      <c r="L86" s="156"/>
      <c r="M86" s="151"/>
      <c r="N86" s="151"/>
      <c r="O86" s="151"/>
      <c r="P86" s="151"/>
      <c r="Q86" s="151"/>
      <c r="R86" s="1"/>
      <c r="T86" s="1"/>
      <c r="U86" s="1"/>
      <c r="V86" s="1"/>
      <c r="W86" s="1"/>
    </row>
    <row r="87" spans="1:23" ht="15" customHeight="1">
      <c r="A87" s="34" t="s">
        <v>1781</v>
      </c>
      <c r="B87" s="34">
        <v>1388</v>
      </c>
      <c r="C87" s="34" t="s">
        <v>1782</v>
      </c>
      <c r="D87" s="34" t="s">
        <v>1783</v>
      </c>
      <c r="E87" s="34" t="s">
        <v>25</v>
      </c>
      <c r="F87" s="34" t="s">
        <v>1784</v>
      </c>
      <c r="G87" s="34" t="s">
        <v>1785</v>
      </c>
      <c r="H87" s="34" t="s">
        <v>1522</v>
      </c>
      <c r="I87" s="34" t="s">
        <v>1786</v>
      </c>
      <c r="J87" s="47" t="s">
        <v>34</v>
      </c>
      <c r="K87" s="34" t="s">
        <v>297</v>
      </c>
      <c r="L87" s="156"/>
      <c r="M87" s="151"/>
      <c r="N87" s="151"/>
      <c r="O87" s="151"/>
      <c r="P87" s="151"/>
      <c r="Q87" s="151"/>
      <c r="R87" s="1"/>
      <c r="T87" s="1"/>
      <c r="U87" s="1"/>
      <c r="V87" s="1"/>
      <c r="W87" s="1"/>
    </row>
    <row r="88" spans="1:23" ht="15" customHeight="1">
      <c r="A88" s="34" t="s">
        <v>1753</v>
      </c>
      <c r="B88" s="143"/>
      <c r="C88" s="34" t="s">
        <v>1760</v>
      </c>
      <c r="D88" s="41">
        <v>45955</v>
      </c>
      <c r="E88" s="34" t="s">
        <v>19</v>
      </c>
      <c r="F88" s="34" t="s">
        <v>1763</v>
      </c>
      <c r="G88" s="34" t="s">
        <v>1773</v>
      </c>
      <c r="H88" s="34" t="s">
        <v>1774</v>
      </c>
      <c r="I88" s="34" t="s">
        <v>1780</v>
      </c>
      <c r="J88" s="47" t="s">
        <v>34</v>
      </c>
      <c r="K88" s="34" t="s">
        <v>297</v>
      </c>
      <c r="L88" s="156"/>
      <c r="M88" s="151"/>
      <c r="N88" s="151"/>
      <c r="O88" s="151"/>
      <c r="P88" s="151"/>
      <c r="Q88" s="151"/>
      <c r="R88" s="1"/>
      <c r="T88" s="1"/>
      <c r="U88" s="1"/>
      <c r="V88" s="1"/>
      <c r="W88" s="1"/>
    </row>
    <row r="89" spans="1:23" ht="15" customHeight="1">
      <c r="A89" s="34" t="s">
        <v>1754</v>
      </c>
      <c r="B89" s="143"/>
      <c r="C89" s="34" t="s">
        <v>1760</v>
      </c>
      <c r="D89" s="41">
        <v>45955</v>
      </c>
      <c r="E89" s="34" t="s">
        <v>19</v>
      </c>
      <c r="F89" s="34" t="s">
        <v>1763</v>
      </c>
      <c r="G89" s="34" t="s">
        <v>1772</v>
      </c>
      <c r="H89" s="34" t="s">
        <v>1774</v>
      </c>
      <c r="I89" s="34" t="s">
        <v>1779</v>
      </c>
      <c r="J89" s="47" t="s">
        <v>34</v>
      </c>
      <c r="K89" s="34" t="s">
        <v>297</v>
      </c>
      <c r="L89" s="156"/>
      <c r="M89" s="151"/>
      <c r="N89" s="151"/>
      <c r="O89" s="151"/>
      <c r="P89" s="151"/>
      <c r="Q89" s="151"/>
      <c r="R89" s="1"/>
      <c r="T89" s="1"/>
      <c r="U89" s="1"/>
      <c r="V89" s="1"/>
      <c r="W89" s="1"/>
    </row>
    <row r="90" spans="1:23" ht="15" customHeight="1">
      <c r="A90" s="34" t="s">
        <v>1755</v>
      </c>
      <c r="B90" s="143"/>
      <c r="C90" s="34" t="s">
        <v>1760</v>
      </c>
      <c r="D90" s="41">
        <v>45955</v>
      </c>
      <c r="E90" s="34" t="s">
        <v>19</v>
      </c>
      <c r="F90" s="34" t="s">
        <v>1763</v>
      </c>
      <c r="G90" s="34" t="s">
        <v>1771</v>
      </c>
      <c r="H90" s="34" t="s">
        <v>1774</v>
      </c>
      <c r="I90" s="34" t="s">
        <v>1778</v>
      </c>
      <c r="J90" s="47" t="s">
        <v>34</v>
      </c>
      <c r="K90" s="34" t="s">
        <v>297</v>
      </c>
      <c r="L90" s="156"/>
      <c r="M90" s="151"/>
      <c r="N90" s="151"/>
      <c r="O90" s="151"/>
      <c r="P90" s="151"/>
      <c r="Q90" s="151"/>
      <c r="R90" s="1"/>
      <c r="T90" s="1"/>
      <c r="U90" s="1"/>
      <c r="V90" s="1"/>
      <c r="W90" s="1"/>
    </row>
    <row r="91" spans="1:23" ht="15" customHeight="1">
      <c r="A91" s="34" t="s">
        <v>1756</v>
      </c>
      <c r="B91" s="143"/>
      <c r="C91" s="34" t="s">
        <v>1760</v>
      </c>
      <c r="D91" s="41">
        <v>45955</v>
      </c>
      <c r="E91" s="34" t="s">
        <v>19</v>
      </c>
      <c r="F91" s="34" t="s">
        <v>1763</v>
      </c>
      <c r="G91" s="34" t="s">
        <v>1770</v>
      </c>
      <c r="H91" s="34" t="s">
        <v>1774</v>
      </c>
      <c r="I91" s="34" t="s">
        <v>1777</v>
      </c>
      <c r="J91" s="47" t="s">
        <v>34</v>
      </c>
      <c r="K91" s="34" t="s">
        <v>820</v>
      </c>
      <c r="L91" s="156"/>
      <c r="M91" s="151"/>
      <c r="N91" s="151"/>
      <c r="O91" s="151"/>
      <c r="P91" s="151"/>
      <c r="Q91" s="151"/>
      <c r="R91" s="1"/>
      <c r="T91" s="1"/>
      <c r="U91" s="1"/>
      <c r="V91" s="1"/>
      <c r="W91" s="1"/>
    </row>
    <row r="92" spans="1:23" ht="15" customHeight="1">
      <c r="A92" s="34" t="s">
        <v>1757</v>
      </c>
      <c r="B92" s="143"/>
      <c r="C92" s="34" t="s">
        <v>1760</v>
      </c>
      <c r="D92" s="41">
        <v>45955</v>
      </c>
      <c r="E92" s="34" t="s">
        <v>19</v>
      </c>
      <c r="F92" s="34" t="s">
        <v>1763</v>
      </c>
      <c r="G92" s="34" t="s">
        <v>1769</v>
      </c>
      <c r="H92" s="34" t="s">
        <v>1774</v>
      </c>
      <c r="I92" s="34" t="s">
        <v>1776</v>
      </c>
      <c r="J92" s="47" t="s">
        <v>34</v>
      </c>
      <c r="K92" s="34" t="s">
        <v>297</v>
      </c>
      <c r="L92" s="156"/>
      <c r="M92" s="151"/>
      <c r="N92" s="151"/>
      <c r="O92" s="151"/>
      <c r="P92" s="151"/>
      <c r="Q92" s="151"/>
      <c r="R92" s="1"/>
      <c r="T92" s="1"/>
      <c r="U92" s="1"/>
      <c r="V92" s="1"/>
      <c r="W92" s="1"/>
    </row>
    <row r="93" spans="1:23" ht="15" customHeight="1">
      <c r="A93" s="34" t="s">
        <v>1758</v>
      </c>
      <c r="B93" s="143"/>
      <c r="C93" s="34" t="s">
        <v>1760</v>
      </c>
      <c r="D93" s="41">
        <v>45955</v>
      </c>
      <c r="E93" s="34" t="s">
        <v>19</v>
      </c>
      <c r="F93" s="34" t="s">
        <v>1763</v>
      </c>
      <c r="G93" s="34" t="s">
        <v>1768</v>
      </c>
      <c r="H93" s="34" t="s">
        <v>1774</v>
      </c>
      <c r="I93" s="34" t="s">
        <v>1775</v>
      </c>
      <c r="J93" s="47" t="s">
        <v>34</v>
      </c>
      <c r="K93" s="34" t="s">
        <v>297</v>
      </c>
      <c r="L93" s="156"/>
      <c r="M93" s="151"/>
      <c r="N93" s="151"/>
      <c r="O93" s="151"/>
      <c r="P93" s="151"/>
      <c r="Q93" s="151"/>
      <c r="R93" s="1"/>
      <c r="T93" s="1"/>
      <c r="U93" s="1"/>
      <c r="V93" s="1"/>
      <c r="W93" s="1"/>
    </row>
    <row r="94" spans="1:23" ht="15" customHeight="1">
      <c r="A94" s="34" t="s">
        <v>1759</v>
      </c>
      <c r="B94" s="34">
        <v>1404</v>
      </c>
      <c r="C94" s="34" t="s">
        <v>1760</v>
      </c>
      <c r="D94" s="41">
        <v>45955</v>
      </c>
      <c r="E94" s="34" t="s">
        <v>19</v>
      </c>
      <c r="F94" s="34" t="s">
        <v>1761</v>
      </c>
      <c r="G94" s="34" t="s">
        <v>1767</v>
      </c>
      <c r="H94" s="34" t="s">
        <v>1774</v>
      </c>
      <c r="I94" s="34" t="s">
        <v>826</v>
      </c>
      <c r="J94" s="47" t="s">
        <v>34</v>
      </c>
      <c r="K94" s="34" t="s">
        <v>297</v>
      </c>
      <c r="L94" s="156"/>
      <c r="M94" s="151"/>
      <c r="N94" s="151"/>
      <c r="O94" s="173" t="s">
        <v>2086</v>
      </c>
      <c r="P94" s="148" t="s">
        <v>2094</v>
      </c>
      <c r="Q94" s="178" t="s">
        <v>2093</v>
      </c>
      <c r="R94" s="1"/>
      <c r="T94" s="1"/>
      <c r="U94" s="1"/>
      <c r="V94" s="1"/>
      <c r="W94" s="1"/>
    </row>
    <row r="95" spans="1:23" ht="15" customHeight="1">
      <c r="A95" s="34" t="s">
        <v>1752</v>
      </c>
      <c r="B95" s="34"/>
      <c r="C95" s="34" t="s">
        <v>1760</v>
      </c>
      <c r="D95" s="41">
        <v>45955</v>
      </c>
      <c r="E95" s="34" t="s">
        <v>19</v>
      </c>
      <c r="F95" s="34" t="s">
        <v>1762</v>
      </c>
      <c r="G95" s="34" t="s">
        <v>1766</v>
      </c>
      <c r="H95" s="34" t="s">
        <v>1774</v>
      </c>
      <c r="I95" s="34" t="s">
        <v>826</v>
      </c>
      <c r="J95" s="47" t="s">
        <v>34</v>
      </c>
      <c r="K95" s="34" t="s">
        <v>297</v>
      </c>
      <c r="L95" s="156"/>
      <c r="M95" s="151"/>
      <c r="N95" s="151"/>
      <c r="O95" s="173" t="s">
        <v>2086</v>
      </c>
      <c r="P95" s="148" t="s">
        <v>2094</v>
      </c>
      <c r="Q95" s="178" t="s">
        <v>2092</v>
      </c>
      <c r="R95" s="1"/>
      <c r="T95" s="1"/>
      <c r="U95" s="1"/>
      <c r="V95" s="1"/>
      <c r="W95" s="1"/>
    </row>
    <row r="96" spans="1:23" ht="15" customHeight="1">
      <c r="A96" s="34" t="s">
        <v>1751</v>
      </c>
      <c r="B96" s="34">
        <v>1381</v>
      </c>
      <c r="C96" s="34" t="s">
        <v>1760</v>
      </c>
      <c r="D96" s="41">
        <v>45955</v>
      </c>
      <c r="E96" s="34" t="s">
        <v>19</v>
      </c>
      <c r="F96" s="34" t="s">
        <v>1761</v>
      </c>
      <c r="G96" s="34" t="s">
        <v>1765</v>
      </c>
      <c r="H96" s="34" t="s">
        <v>1774</v>
      </c>
      <c r="I96" s="34" t="s">
        <v>826</v>
      </c>
      <c r="J96" s="47" t="s">
        <v>34</v>
      </c>
      <c r="K96" s="34" t="s">
        <v>820</v>
      </c>
      <c r="L96" s="156"/>
      <c r="M96" s="151"/>
      <c r="N96" s="151"/>
      <c r="O96" s="151"/>
      <c r="P96" s="151"/>
      <c r="Q96" s="151"/>
      <c r="R96" s="1"/>
      <c r="T96" s="1"/>
      <c r="U96" s="1"/>
      <c r="V96" s="1"/>
      <c r="W96" s="1"/>
    </row>
    <row r="97" spans="1:23" ht="15" customHeight="1">
      <c r="A97" s="34" t="s">
        <v>1750</v>
      </c>
      <c r="B97" s="34">
        <v>1380</v>
      </c>
      <c r="C97" s="34" t="s">
        <v>1760</v>
      </c>
      <c r="D97" s="41">
        <v>45955</v>
      </c>
      <c r="E97" s="34" t="s">
        <v>19</v>
      </c>
      <c r="F97" s="34" t="s">
        <v>1761</v>
      </c>
      <c r="G97" s="34" t="s">
        <v>1764</v>
      </c>
      <c r="H97" s="34" t="s">
        <v>1774</v>
      </c>
      <c r="I97" s="34" t="s">
        <v>826</v>
      </c>
      <c r="J97" s="47" t="s">
        <v>34</v>
      </c>
      <c r="K97" s="34" t="s">
        <v>820</v>
      </c>
      <c r="L97" s="156"/>
      <c r="M97" s="151"/>
      <c r="N97" s="151"/>
      <c r="O97" s="151"/>
      <c r="P97" s="151"/>
      <c r="Q97" s="151"/>
      <c r="R97" s="1"/>
      <c r="T97" s="1"/>
      <c r="U97" s="1"/>
      <c r="V97" s="1"/>
      <c r="W97" s="1"/>
    </row>
    <row r="98" spans="1:23" ht="15" customHeight="1">
      <c r="A98" s="34">
        <v>1015</v>
      </c>
      <c r="B98" s="142" t="s">
        <v>1861</v>
      </c>
      <c r="C98" s="34" t="s">
        <v>1748</v>
      </c>
      <c r="D98" s="41">
        <v>45955</v>
      </c>
      <c r="E98" s="34" t="s">
        <v>25</v>
      </c>
      <c r="F98" s="34" t="s">
        <v>603</v>
      </c>
      <c r="G98" s="34" t="s">
        <v>775</v>
      </c>
      <c r="H98" s="34" t="s">
        <v>1749</v>
      </c>
      <c r="I98" s="34"/>
      <c r="J98" s="47" t="s">
        <v>34</v>
      </c>
      <c r="K98" s="34" t="s">
        <v>297</v>
      </c>
      <c r="L98" s="156"/>
      <c r="M98" s="151"/>
      <c r="N98" s="151"/>
      <c r="O98" s="151"/>
      <c r="P98" s="151"/>
      <c r="Q98" s="151"/>
      <c r="R98" s="1"/>
      <c r="T98" s="1"/>
      <c r="U98" s="1"/>
      <c r="V98" s="1"/>
      <c r="W98" s="1"/>
    </row>
    <row r="99" spans="1:23" ht="15" customHeight="1">
      <c r="A99" s="34" t="s">
        <v>1743</v>
      </c>
      <c r="B99" s="143"/>
      <c r="C99" s="34" t="s">
        <v>1682</v>
      </c>
      <c r="D99" s="41">
        <v>45955</v>
      </c>
      <c r="E99" s="34"/>
      <c r="F99" s="34" t="s">
        <v>1745</v>
      </c>
      <c r="G99" s="34"/>
      <c r="H99" s="34" t="s">
        <v>1578</v>
      </c>
      <c r="I99" s="34" t="s">
        <v>1747</v>
      </c>
      <c r="J99" s="47" t="s">
        <v>34</v>
      </c>
      <c r="K99" s="34" t="s">
        <v>297</v>
      </c>
      <c r="L99" s="156"/>
      <c r="M99" s="151"/>
      <c r="N99" s="151"/>
      <c r="O99" s="151"/>
      <c r="P99" s="151"/>
      <c r="Q99" s="151"/>
      <c r="R99" s="1"/>
      <c r="T99" s="1"/>
      <c r="U99" s="1"/>
      <c r="V99" s="1"/>
      <c r="W99" s="1"/>
    </row>
    <row r="100" spans="1:23" ht="15" customHeight="1">
      <c r="A100" s="34" t="s">
        <v>1744</v>
      </c>
      <c r="B100" s="143"/>
      <c r="C100" s="34" t="s">
        <v>1682</v>
      </c>
      <c r="D100" s="41">
        <v>45955</v>
      </c>
      <c r="E100" s="34"/>
      <c r="F100" s="34" t="s">
        <v>1745</v>
      </c>
      <c r="G100" s="34"/>
      <c r="H100" s="34" t="s">
        <v>1578</v>
      </c>
      <c r="I100" s="34" t="s">
        <v>1747</v>
      </c>
      <c r="J100" s="47" t="s">
        <v>34</v>
      </c>
      <c r="K100" s="34" t="s">
        <v>297</v>
      </c>
      <c r="L100" s="156"/>
      <c r="M100" s="151"/>
      <c r="N100" s="151"/>
      <c r="O100" s="151"/>
      <c r="P100" s="151"/>
      <c r="Q100" s="151"/>
      <c r="R100" s="1"/>
      <c r="T100" s="1"/>
      <c r="U100" s="1"/>
      <c r="V100" s="1"/>
      <c r="W100" s="1"/>
    </row>
    <row r="101" spans="1:23" ht="15" customHeight="1">
      <c r="A101" s="34" t="s">
        <v>1742</v>
      </c>
      <c r="B101" s="143"/>
      <c r="C101" s="34" t="s">
        <v>1682</v>
      </c>
      <c r="D101" s="41">
        <v>45955</v>
      </c>
      <c r="E101" s="34"/>
      <c r="F101" s="34" t="s">
        <v>1745</v>
      </c>
      <c r="G101" s="34"/>
      <c r="H101" s="34" t="s">
        <v>1578</v>
      </c>
      <c r="I101" s="34" t="s">
        <v>1747</v>
      </c>
      <c r="J101" s="47" t="s">
        <v>34</v>
      </c>
      <c r="K101" s="34" t="s">
        <v>820</v>
      </c>
      <c r="L101" s="156"/>
      <c r="M101" s="151"/>
      <c r="N101" s="151"/>
      <c r="O101" s="151"/>
      <c r="P101" s="151"/>
      <c r="Q101" s="151"/>
      <c r="R101" s="1"/>
      <c r="T101" s="1"/>
      <c r="U101" s="1"/>
      <c r="V101" s="1"/>
      <c r="W101" s="1"/>
    </row>
    <row r="102" spans="1:23" ht="15" customHeight="1">
      <c r="A102" s="34" t="s">
        <v>1741</v>
      </c>
      <c r="B102" s="143"/>
      <c r="C102" s="34" t="s">
        <v>1682</v>
      </c>
      <c r="D102" s="41">
        <v>45955</v>
      </c>
      <c r="E102" s="34"/>
      <c r="F102" s="34" t="s">
        <v>1745</v>
      </c>
      <c r="G102" s="34"/>
      <c r="H102" s="34" t="s">
        <v>1578</v>
      </c>
      <c r="I102" s="34" t="s">
        <v>1746</v>
      </c>
      <c r="J102" s="47" t="s">
        <v>34</v>
      </c>
      <c r="K102" s="34" t="s">
        <v>820</v>
      </c>
      <c r="L102" s="156"/>
      <c r="M102" s="151"/>
      <c r="N102" s="151"/>
      <c r="O102" s="151"/>
      <c r="P102" s="151"/>
      <c r="Q102" s="151"/>
      <c r="R102" s="1"/>
      <c r="T102" s="1"/>
      <c r="U102" s="1"/>
      <c r="V102" s="1"/>
      <c r="W102" s="1"/>
    </row>
    <row r="103" spans="1:23" ht="15" customHeight="1">
      <c r="A103" s="34">
        <v>1013</v>
      </c>
      <c r="B103" s="34">
        <v>1379</v>
      </c>
      <c r="C103" s="34" t="s">
        <v>1737</v>
      </c>
      <c r="D103" s="41">
        <v>45952</v>
      </c>
      <c r="E103" s="34" t="s">
        <v>25</v>
      </c>
      <c r="F103" s="34" t="s">
        <v>1738</v>
      </c>
      <c r="G103" s="34" t="s">
        <v>1739</v>
      </c>
      <c r="H103" s="34" t="s">
        <v>899</v>
      </c>
      <c r="I103" s="34" t="s">
        <v>1740</v>
      </c>
      <c r="J103" s="47" t="s">
        <v>34</v>
      </c>
      <c r="K103" s="34" t="s">
        <v>820</v>
      </c>
      <c r="L103" s="156"/>
      <c r="M103" s="151"/>
      <c r="N103" s="151"/>
      <c r="O103" s="151"/>
      <c r="P103" s="151"/>
      <c r="Q103" s="151"/>
      <c r="R103" s="1"/>
      <c r="T103" s="1"/>
      <c r="U103" s="1"/>
      <c r="V103" s="1"/>
      <c r="W103" s="1"/>
    </row>
    <row r="104" spans="1:23" ht="15" customHeight="1">
      <c r="A104" s="34">
        <v>1012</v>
      </c>
      <c r="B104" s="34">
        <v>1378</v>
      </c>
      <c r="C104" s="34" t="s">
        <v>1733</v>
      </c>
      <c r="D104" s="41">
        <v>45952</v>
      </c>
      <c r="E104" s="34" t="s">
        <v>25</v>
      </c>
      <c r="F104" s="34" t="s">
        <v>1734</v>
      </c>
      <c r="G104" s="34" t="s">
        <v>1735</v>
      </c>
      <c r="H104" s="34" t="s">
        <v>899</v>
      </c>
      <c r="I104" s="34" t="s">
        <v>1736</v>
      </c>
      <c r="J104" s="47" t="s">
        <v>34</v>
      </c>
      <c r="K104" s="34" t="s">
        <v>820</v>
      </c>
      <c r="L104" s="156"/>
      <c r="M104" s="151"/>
      <c r="N104" s="151"/>
      <c r="O104" s="151"/>
      <c r="P104" s="151"/>
      <c r="Q104" s="151"/>
      <c r="R104" s="1"/>
      <c r="T104" s="1"/>
      <c r="U104" s="1"/>
      <c r="V104" s="1"/>
      <c r="W104" s="1"/>
    </row>
    <row r="105" spans="1:23" ht="15" customHeight="1">
      <c r="A105" s="34" t="s">
        <v>1728</v>
      </c>
      <c r="B105" s="34">
        <v>1376</v>
      </c>
      <c r="C105" s="34" t="s">
        <v>1729</v>
      </c>
      <c r="D105" s="41">
        <v>45951</v>
      </c>
      <c r="E105" s="34" t="s">
        <v>25</v>
      </c>
      <c r="F105" s="34" t="s">
        <v>1265</v>
      </c>
      <c r="G105" s="34" t="s">
        <v>1732</v>
      </c>
      <c r="H105" s="34" t="s">
        <v>1578</v>
      </c>
      <c r="I105" s="34"/>
      <c r="J105" s="47" t="s">
        <v>34</v>
      </c>
      <c r="K105" s="34" t="s">
        <v>820</v>
      </c>
      <c r="L105" s="156"/>
      <c r="M105" s="151"/>
      <c r="N105" s="151"/>
      <c r="O105" s="151"/>
      <c r="P105" s="151"/>
      <c r="Q105" s="151"/>
      <c r="R105" s="1"/>
      <c r="T105" s="1"/>
      <c r="U105" s="1"/>
      <c r="V105" s="1"/>
      <c r="W105" s="1"/>
    </row>
    <row r="106" spans="1:23" ht="15" customHeight="1">
      <c r="A106" s="34" t="s">
        <v>1727</v>
      </c>
      <c r="B106" s="34">
        <v>1375</v>
      </c>
      <c r="C106" s="34" t="s">
        <v>1729</v>
      </c>
      <c r="D106" s="41">
        <v>45951</v>
      </c>
      <c r="E106" s="34" t="s">
        <v>25</v>
      </c>
      <c r="F106" s="34" t="s">
        <v>1730</v>
      </c>
      <c r="G106" s="34" t="s">
        <v>1731</v>
      </c>
      <c r="H106" s="34" t="s">
        <v>1578</v>
      </c>
      <c r="I106" s="34"/>
      <c r="J106" s="47" t="s">
        <v>34</v>
      </c>
      <c r="K106" s="34" t="s">
        <v>820</v>
      </c>
      <c r="L106" s="156"/>
      <c r="M106" s="151"/>
      <c r="N106" s="151"/>
      <c r="O106" s="151"/>
      <c r="P106" s="151"/>
      <c r="Q106" s="151"/>
      <c r="R106" s="1"/>
      <c r="T106" s="1"/>
      <c r="U106" s="1"/>
      <c r="V106" s="1"/>
      <c r="W106" s="1"/>
    </row>
    <row r="107" spans="1:23" ht="15" customHeight="1">
      <c r="A107" s="34">
        <v>1010</v>
      </c>
      <c r="B107" s="142" t="s">
        <v>1861</v>
      </c>
      <c r="C107" s="34" t="s">
        <v>1724</v>
      </c>
      <c r="D107" s="41">
        <v>45951</v>
      </c>
      <c r="E107" s="34" t="s">
        <v>25</v>
      </c>
      <c r="F107" s="34" t="s">
        <v>1725</v>
      </c>
      <c r="G107" s="34"/>
      <c r="H107" s="34" t="s">
        <v>1726</v>
      </c>
      <c r="I107" s="34"/>
      <c r="J107" s="47" t="s">
        <v>34</v>
      </c>
      <c r="K107" s="34" t="s">
        <v>820</v>
      </c>
      <c r="L107" s="156"/>
      <c r="M107" s="151"/>
      <c r="N107" s="151"/>
      <c r="O107" s="151"/>
      <c r="P107" s="151"/>
      <c r="Q107" s="151"/>
      <c r="R107" s="1"/>
      <c r="T107" s="1"/>
      <c r="U107" s="1"/>
      <c r="V107" s="1"/>
      <c r="W107" s="1"/>
    </row>
    <row r="108" spans="1:23" ht="15" customHeight="1">
      <c r="A108" s="34">
        <v>1009</v>
      </c>
      <c r="B108" s="34">
        <v>1374</v>
      </c>
      <c r="C108" s="34" t="s">
        <v>1682</v>
      </c>
      <c r="D108" s="41">
        <v>45951</v>
      </c>
      <c r="E108" s="34" t="s">
        <v>25</v>
      </c>
      <c r="F108" s="34" t="s">
        <v>1722</v>
      </c>
      <c r="G108" s="34" t="s">
        <v>1723</v>
      </c>
      <c r="H108" s="34" t="s">
        <v>1578</v>
      </c>
      <c r="I108" s="34"/>
      <c r="J108" s="47" t="s">
        <v>34</v>
      </c>
      <c r="K108" s="34" t="s">
        <v>820</v>
      </c>
      <c r="L108" s="156"/>
      <c r="M108" s="151"/>
      <c r="N108" s="151"/>
      <c r="O108" s="151"/>
      <c r="P108" s="151"/>
      <c r="Q108" s="151"/>
      <c r="R108" s="1"/>
      <c r="T108" s="1"/>
      <c r="U108" s="1"/>
      <c r="V108" s="1"/>
      <c r="W108" s="1"/>
    </row>
    <row r="109" spans="1:23" ht="15" customHeight="1">
      <c r="A109" s="34">
        <v>1008</v>
      </c>
      <c r="B109" s="34">
        <v>1373</v>
      </c>
      <c r="C109" s="34" t="s">
        <v>1719</v>
      </c>
      <c r="D109" s="41">
        <v>45950</v>
      </c>
      <c r="E109" s="34" t="s">
        <v>1720</v>
      </c>
      <c r="F109" s="34" t="s">
        <v>1721</v>
      </c>
      <c r="G109" s="34"/>
      <c r="H109" s="34" t="s">
        <v>1578</v>
      </c>
      <c r="I109" s="34"/>
      <c r="J109" s="36" t="s">
        <v>1831</v>
      </c>
      <c r="K109" s="34"/>
      <c r="L109" s="156"/>
      <c r="M109" s="151"/>
      <c r="N109" s="151"/>
      <c r="O109" s="151"/>
      <c r="P109" s="151"/>
      <c r="Q109" s="151"/>
      <c r="R109" s="1"/>
      <c r="T109" s="1"/>
      <c r="U109" s="1"/>
      <c r="V109" s="1"/>
      <c r="W109" s="1"/>
    </row>
    <row r="110" spans="1:23" ht="15" customHeight="1">
      <c r="A110" s="34">
        <v>1007</v>
      </c>
      <c r="B110" s="34">
        <v>1372</v>
      </c>
      <c r="C110" s="34" t="s">
        <v>1715</v>
      </c>
      <c r="D110" s="41">
        <v>45950</v>
      </c>
      <c r="E110" s="34" t="s">
        <v>25</v>
      </c>
      <c r="F110" s="34" t="s">
        <v>1226</v>
      </c>
      <c r="G110" s="34" t="s">
        <v>1716</v>
      </c>
      <c r="H110" s="34" t="s">
        <v>1718</v>
      </c>
      <c r="I110" s="34" t="s">
        <v>1717</v>
      </c>
      <c r="J110" s="47" t="s">
        <v>34</v>
      </c>
      <c r="K110" s="34" t="s">
        <v>820</v>
      </c>
      <c r="L110" s="156"/>
      <c r="M110" s="151"/>
      <c r="N110" s="151"/>
      <c r="O110" s="151"/>
      <c r="P110" s="151"/>
      <c r="Q110" s="151"/>
      <c r="R110" s="1"/>
      <c r="T110" s="1"/>
      <c r="U110" s="1"/>
      <c r="V110" s="1"/>
      <c r="W110" s="1"/>
    </row>
    <row r="111" spans="1:23" ht="15" customHeight="1">
      <c r="A111" s="34">
        <v>569</v>
      </c>
      <c r="B111" s="34">
        <v>1357</v>
      </c>
      <c r="C111" s="34" t="s">
        <v>1704</v>
      </c>
      <c r="D111" s="41">
        <v>45841</v>
      </c>
      <c r="E111" s="34" t="s">
        <v>1607</v>
      </c>
      <c r="F111" s="36" t="s">
        <v>1705</v>
      </c>
      <c r="G111" s="34"/>
      <c r="H111" s="64" t="s">
        <v>1706</v>
      </c>
      <c r="I111" s="34"/>
      <c r="J111" s="69" t="s">
        <v>50</v>
      </c>
      <c r="K111" s="34" t="s">
        <v>51</v>
      </c>
      <c r="L111" s="156"/>
      <c r="M111" s="151"/>
      <c r="N111" s="151"/>
      <c r="O111" s="151"/>
      <c r="P111" s="151"/>
      <c r="Q111" s="151"/>
      <c r="R111" s="1"/>
      <c r="T111" s="1"/>
      <c r="U111" s="1"/>
      <c r="V111" s="1"/>
      <c r="W111" s="1"/>
    </row>
    <row r="112" spans="1:23" ht="15" customHeight="1">
      <c r="A112" s="34" t="s">
        <v>1696</v>
      </c>
      <c r="B112" s="34">
        <v>1370</v>
      </c>
      <c r="C112" s="34" t="s">
        <v>1697</v>
      </c>
      <c r="D112" s="41">
        <v>45946</v>
      </c>
      <c r="E112" s="34" t="s">
        <v>25</v>
      </c>
      <c r="F112" s="34" t="s">
        <v>1698</v>
      </c>
      <c r="G112" s="34" t="s">
        <v>1701</v>
      </c>
      <c r="H112" s="34" t="s">
        <v>899</v>
      </c>
      <c r="I112" s="34" t="s">
        <v>1703</v>
      </c>
      <c r="J112" s="47" t="s">
        <v>34</v>
      </c>
      <c r="K112" s="34" t="s">
        <v>820</v>
      </c>
      <c r="L112" s="156"/>
      <c r="M112" s="151"/>
      <c r="N112" s="151"/>
      <c r="O112" s="151"/>
      <c r="P112" s="151"/>
      <c r="Q112" s="151"/>
      <c r="R112" s="1"/>
      <c r="T112" s="1"/>
      <c r="U112" s="1"/>
      <c r="V112" s="1"/>
      <c r="W112" s="1"/>
    </row>
    <row r="113" spans="1:23" ht="15" customHeight="1">
      <c r="A113" s="34" t="s">
        <v>1695</v>
      </c>
      <c r="B113" s="143"/>
      <c r="C113" s="34" t="s">
        <v>1697</v>
      </c>
      <c r="D113" s="41">
        <v>45946</v>
      </c>
      <c r="E113" s="34" t="s">
        <v>25</v>
      </c>
      <c r="F113" s="34" t="s">
        <v>1698</v>
      </c>
      <c r="G113" s="34" t="s">
        <v>1700</v>
      </c>
      <c r="H113" s="34" t="s">
        <v>899</v>
      </c>
      <c r="I113" s="34" t="s">
        <v>1702</v>
      </c>
      <c r="J113" s="47" t="s">
        <v>34</v>
      </c>
      <c r="K113" s="34" t="s">
        <v>820</v>
      </c>
      <c r="L113" s="156"/>
      <c r="M113" s="151"/>
      <c r="N113" s="151"/>
      <c r="O113" s="151"/>
      <c r="P113" s="151"/>
      <c r="Q113" s="151"/>
      <c r="R113" s="1"/>
      <c r="T113" s="1"/>
      <c r="U113" s="1"/>
      <c r="V113" s="1"/>
      <c r="W113" s="1"/>
    </row>
    <row r="114" spans="1:23" ht="15" customHeight="1">
      <c r="A114" s="34" t="s">
        <v>1694</v>
      </c>
      <c r="B114" s="143"/>
      <c r="C114" s="34" t="s">
        <v>1697</v>
      </c>
      <c r="D114" s="41">
        <v>45946</v>
      </c>
      <c r="E114" s="34" t="s">
        <v>25</v>
      </c>
      <c r="F114" s="34" t="s">
        <v>1698</v>
      </c>
      <c r="G114" s="34" t="s">
        <v>1699</v>
      </c>
      <c r="H114" s="34" t="s">
        <v>899</v>
      </c>
      <c r="I114" s="34" t="s">
        <v>1702</v>
      </c>
      <c r="J114" s="47" t="s">
        <v>34</v>
      </c>
      <c r="K114" s="34" t="s">
        <v>820</v>
      </c>
      <c r="L114" s="156"/>
      <c r="M114" s="151"/>
      <c r="N114" s="151"/>
      <c r="O114" s="151"/>
      <c r="P114" s="151"/>
      <c r="Q114" s="151"/>
      <c r="R114" s="1"/>
      <c r="T114" s="1"/>
      <c r="U114" s="1"/>
      <c r="V114" s="1"/>
      <c r="W114" s="1"/>
    </row>
    <row r="115" spans="1:23" ht="15" customHeight="1">
      <c r="A115" s="34" t="s">
        <v>1689</v>
      </c>
      <c r="B115" s="34">
        <v>1368</v>
      </c>
      <c r="C115" s="34" t="s">
        <v>1682</v>
      </c>
      <c r="D115" s="41">
        <v>45945</v>
      </c>
      <c r="E115" s="34" t="s">
        <v>25</v>
      </c>
      <c r="F115" s="34" t="s">
        <v>1690</v>
      </c>
      <c r="G115" s="34" t="s">
        <v>935</v>
      </c>
      <c r="H115" s="34" t="s">
        <v>1578</v>
      </c>
      <c r="I115" s="34" t="s">
        <v>1692</v>
      </c>
      <c r="J115" s="69" t="s">
        <v>50</v>
      </c>
      <c r="K115" s="34" t="s">
        <v>51</v>
      </c>
      <c r="L115" s="156"/>
      <c r="M115" s="151"/>
      <c r="N115" s="151"/>
      <c r="O115" s="151"/>
      <c r="P115" s="151"/>
      <c r="Q115" s="151"/>
      <c r="R115" s="1"/>
      <c r="T115" s="1"/>
      <c r="U115" s="1"/>
      <c r="V115" s="1"/>
      <c r="W115" s="1"/>
    </row>
    <row r="116" spans="1:23" ht="15" customHeight="1">
      <c r="A116" s="34" t="s">
        <v>1688</v>
      </c>
      <c r="B116" s="34">
        <v>1369</v>
      </c>
      <c r="C116" s="34" t="s">
        <v>1682</v>
      </c>
      <c r="D116" s="41">
        <v>45945</v>
      </c>
      <c r="E116" s="34" t="s">
        <v>25</v>
      </c>
      <c r="F116" s="34" t="s">
        <v>1243</v>
      </c>
      <c r="G116" s="34"/>
      <c r="H116" s="34" t="s">
        <v>1691</v>
      </c>
      <c r="I116" s="34" t="s">
        <v>1693</v>
      </c>
      <c r="J116" s="47" t="s">
        <v>34</v>
      </c>
      <c r="K116" s="34" t="s">
        <v>51</v>
      </c>
      <c r="L116" s="156"/>
      <c r="M116" s="151"/>
      <c r="N116" s="151"/>
      <c r="O116" s="151"/>
      <c r="P116" s="151"/>
      <c r="Q116" s="151"/>
      <c r="R116" s="1"/>
      <c r="T116" s="1"/>
      <c r="U116" s="1"/>
      <c r="V116" s="1"/>
      <c r="W116" s="1"/>
    </row>
    <row r="117" spans="1:23" ht="15" customHeight="1">
      <c r="A117" s="34">
        <v>1004</v>
      </c>
      <c r="B117" s="34">
        <v>1377</v>
      </c>
      <c r="C117" s="34" t="s">
        <v>1685</v>
      </c>
      <c r="D117" s="41">
        <v>45945</v>
      </c>
      <c r="E117" s="34" t="s">
        <v>25</v>
      </c>
      <c r="F117" s="34" t="s">
        <v>321</v>
      </c>
      <c r="G117" s="34" t="s">
        <v>1686</v>
      </c>
      <c r="H117" s="34" t="s">
        <v>1578</v>
      </c>
      <c r="I117" s="34" t="s">
        <v>1687</v>
      </c>
      <c r="J117" s="69" t="s">
        <v>50</v>
      </c>
      <c r="K117" s="34" t="s">
        <v>51</v>
      </c>
      <c r="L117" s="156"/>
      <c r="M117" s="151"/>
      <c r="N117" s="151"/>
      <c r="O117" s="151"/>
      <c r="P117" s="151"/>
      <c r="Q117" s="151"/>
      <c r="R117" s="1"/>
      <c r="T117" s="1"/>
      <c r="U117" s="1"/>
      <c r="V117" s="1"/>
      <c r="W117" s="1"/>
    </row>
    <row r="118" spans="1:23" ht="15" customHeight="1">
      <c r="A118" s="34">
        <v>1003</v>
      </c>
      <c r="B118" s="34"/>
      <c r="C118" s="34" t="s">
        <v>1682</v>
      </c>
      <c r="D118" s="41">
        <v>45945</v>
      </c>
      <c r="E118" s="34" t="s">
        <v>25</v>
      </c>
      <c r="F118" s="34" t="s">
        <v>176</v>
      </c>
      <c r="G118" s="34" t="s">
        <v>1683</v>
      </c>
      <c r="H118" s="34" t="s">
        <v>1578</v>
      </c>
      <c r="I118" s="34" t="s">
        <v>1684</v>
      </c>
      <c r="J118" s="69" t="s">
        <v>50</v>
      </c>
      <c r="K118" s="34" t="s">
        <v>2009</v>
      </c>
      <c r="L118" s="156"/>
      <c r="M118" s="151"/>
      <c r="N118" s="151"/>
      <c r="O118" s="151"/>
      <c r="P118" s="151"/>
      <c r="Q118" s="151"/>
      <c r="R118" s="1"/>
      <c r="T118" s="1"/>
      <c r="U118" s="1"/>
      <c r="V118" s="1"/>
      <c r="W118" s="1"/>
    </row>
    <row r="119" spans="1:23" ht="14.45" customHeight="1">
      <c r="A119" s="34" t="s">
        <v>1676</v>
      </c>
      <c r="B119" s="34">
        <v>1366</v>
      </c>
      <c r="C119" s="34" t="s">
        <v>1677</v>
      </c>
      <c r="D119" s="41">
        <v>45944</v>
      </c>
      <c r="E119" s="34" t="s">
        <v>1607</v>
      </c>
      <c r="F119" s="34" t="s">
        <v>89</v>
      </c>
      <c r="G119" s="34" t="s">
        <v>1680</v>
      </c>
      <c r="H119" s="34" t="s">
        <v>1578</v>
      </c>
      <c r="I119" s="34"/>
      <c r="J119" s="71" t="s">
        <v>96</v>
      </c>
      <c r="K119" s="34" t="s">
        <v>1949</v>
      </c>
      <c r="L119" s="156"/>
      <c r="M119" s="151"/>
      <c r="N119" s="151"/>
      <c r="O119" s="153" t="s">
        <v>1927</v>
      </c>
      <c r="P119" s="151"/>
      <c r="Q119" s="154" t="s">
        <v>1919</v>
      </c>
      <c r="R119" s="1"/>
      <c r="T119" s="1"/>
      <c r="U119" s="1"/>
      <c r="V119" s="1"/>
      <c r="W119" s="1"/>
    </row>
    <row r="120" spans="1:23" ht="15" customHeight="1">
      <c r="A120" s="34" t="s">
        <v>1675</v>
      </c>
      <c r="B120" s="34">
        <v>1367</v>
      </c>
      <c r="C120" s="34" t="s">
        <v>1677</v>
      </c>
      <c r="D120" s="41">
        <v>45944</v>
      </c>
      <c r="E120" s="34" t="s">
        <v>19</v>
      </c>
      <c r="F120" s="34" t="s">
        <v>1678</v>
      </c>
      <c r="G120" s="34" t="s">
        <v>1679</v>
      </c>
      <c r="H120" s="34" t="s">
        <v>1578</v>
      </c>
      <c r="I120" s="34" t="s">
        <v>1681</v>
      </c>
      <c r="J120" s="47" t="s">
        <v>34</v>
      </c>
      <c r="K120" s="34" t="s">
        <v>820</v>
      </c>
      <c r="L120" s="156"/>
      <c r="M120" s="151"/>
      <c r="N120" s="151"/>
      <c r="O120" s="151"/>
      <c r="P120" s="151"/>
      <c r="Q120" s="151"/>
      <c r="R120" s="1"/>
      <c r="T120" s="1"/>
      <c r="U120" s="1"/>
      <c r="V120" s="1"/>
      <c r="W120" s="1"/>
    </row>
    <row r="121" spans="1:23" ht="15" customHeight="1">
      <c r="A121" s="34">
        <v>1001</v>
      </c>
      <c r="B121" s="34">
        <v>1371</v>
      </c>
      <c r="C121" s="34" t="s">
        <v>1672</v>
      </c>
      <c r="D121" s="41">
        <v>45944</v>
      </c>
      <c r="E121" s="34" t="s">
        <v>1029</v>
      </c>
      <c r="F121" s="34" t="s">
        <v>1673</v>
      </c>
      <c r="G121" s="34"/>
      <c r="H121" s="34" t="s">
        <v>1674</v>
      </c>
      <c r="I121" s="34" t="s">
        <v>1182</v>
      </c>
      <c r="J121" s="69" t="s">
        <v>50</v>
      </c>
      <c r="K121" s="34" t="s">
        <v>1797</v>
      </c>
      <c r="L121" s="156"/>
      <c r="M121" s="151"/>
      <c r="N121" s="151"/>
      <c r="O121" s="151"/>
      <c r="P121" s="151"/>
      <c r="Q121" s="151"/>
      <c r="R121" s="1"/>
      <c r="T121" s="1"/>
      <c r="U121" s="1"/>
      <c r="V121" s="1"/>
      <c r="W121" s="1"/>
    </row>
    <row r="122" spans="1:23" ht="15" customHeight="1">
      <c r="A122" s="34">
        <v>1000</v>
      </c>
      <c r="B122" s="34">
        <v>1363</v>
      </c>
      <c r="C122" s="34" t="s">
        <v>1668</v>
      </c>
      <c r="D122" s="34" t="s">
        <v>1663</v>
      </c>
      <c r="E122" s="34" t="s">
        <v>25</v>
      </c>
      <c r="F122" s="34" t="s">
        <v>1590</v>
      </c>
      <c r="G122" s="34"/>
      <c r="H122" s="34" t="s">
        <v>1669</v>
      </c>
      <c r="I122" s="34" t="s">
        <v>1670</v>
      </c>
      <c r="J122" s="47" t="s">
        <v>34</v>
      </c>
      <c r="K122" s="34" t="s">
        <v>820</v>
      </c>
      <c r="L122" s="156"/>
      <c r="M122" s="151"/>
      <c r="N122" s="151"/>
      <c r="O122" s="151"/>
      <c r="P122" s="151"/>
      <c r="Q122" s="151"/>
      <c r="R122" s="1"/>
      <c r="T122" s="1"/>
      <c r="U122" s="1"/>
      <c r="V122" s="1"/>
      <c r="W122" s="1"/>
    </row>
    <row r="123" spans="1:23" ht="15" customHeight="1">
      <c r="A123" s="34">
        <v>999</v>
      </c>
      <c r="B123" s="34">
        <v>1365</v>
      </c>
      <c r="C123" s="34" t="s">
        <v>1662</v>
      </c>
      <c r="D123" s="34" t="s">
        <v>1663</v>
      </c>
      <c r="E123" s="34" t="s">
        <v>25</v>
      </c>
      <c r="F123" s="34" t="s">
        <v>1664</v>
      </c>
      <c r="G123" s="34" t="s">
        <v>1665</v>
      </c>
      <c r="H123" s="34" t="s">
        <v>1666</v>
      </c>
      <c r="I123" s="34" t="s">
        <v>1667</v>
      </c>
      <c r="J123" s="47" t="s">
        <v>34</v>
      </c>
      <c r="K123" s="34" t="s">
        <v>820</v>
      </c>
      <c r="L123" s="156"/>
      <c r="M123" s="151"/>
      <c r="N123" s="151"/>
      <c r="O123" s="151"/>
      <c r="P123" s="151"/>
      <c r="Q123" s="151"/>
      <c r="R123" s="1"/>
      <c r="T123" s="1"/>
      <c r="U123" s="1"/>
      <c r="V123" s="1"/>
      <c r="W123" s="1"/>
    </row>
    <row r="124" spans="1:23" ht="15" customHeight="1">
      <c r="A124" s="34" t="s">
        <v>1657</v>
      </c>
      <c r="B124" s="34">
        <v>1364</v>
      </c>
      <c r="C124" s="34" t="s">
        <v>1375</v>
      </c>
      <c r="D124" s="41">
        <v>45939</v>
      </c>
      <c r="E124" s="34" t="s">
        <v>1492</v>
      </c>
      <c r="F124" s="34" t="s">
        <v>1658</v>
      </c>
      <c r="G124" s="34" t="s">
        <v>1660</v>
      </c>
      <c r="H124" s="34" t="s">
        <v>1578</v>
      </c>
      <c r="I124" s="34" t="s">
        <v>1070</v>
      </c>
      <c r="J124" s="47" t="s">
        <v>34</v>
      </c>
      <c r="K124" s="49" t="s">
        <v>1285</v>
      </c>
      <c r="L124" s="156"/>
      <c r="M124" s="151"/>
      <c r="N124" s="151"/>
      <c r="O124" s="151"/>
      <c r="P124" s="151"/>
      <c r="Q124" s="151"/>
      <c r="R124" s="1"/>
      <c r="T124" s="1"/>
      <c r="U124" s="1"/>
      <c r="V124" s="1"/>
      <c r="W124" s="1"/>
    </row>
    <row r="125" spans="1:23" ht="15" customHeight="1">
      <c r="A125" s="34" t="s">
        <v>1656</v>
      </c>
      <c r="B125" s="34">
        <v>1362</v>
      </c>
      <c r="C125" s="34" t="s">
        <v>1375</v>
      </c>
      <c r="D125" s="41">
        <v>45939</v>
      </c>
      <c r="E125" s="34" t="s">
        <v>1492</v>
      </c>
      <c r="F125" s="34" t="s">
        <v>211</v>
      </c>
      <c r="G125" s="34" t="s">
        <v>1659</v>
      </c>
      <c r="H125" s="70" t="s">
        <v>1661</v>
      </c>
      <c r="I125" s="34" t="s">
        <v>1070</v>
      </c>
      <c r="J125" s="47" t="s">
        <v>34</v>
      </c>
      <c r="K125" s="34" t="s">
        <v>820</v>
      </c>
      <c r="L125" s="156"/>
      <c r="M125" s="151"/>
      <c r="N125" s="151"/>
      <c r="O125" s="153" t="s">
        <v>1959</v>
      </c>
      <c r="P125" s="148" t="s">
        <v>2031</v>
      </c>
      <c r="Q125" s="154" t="s">
        <v>1919</v>
      </c>
      <c r="R125" s="1"/>
      <c r="T125" s="1"/>
      <c r="U125" s="1"/>
      <c r="V125" s="1"/>
      <c r="W125" s="1"/>
    </row>
    <row r="126" spans="1:23" ht="15" customHeight="1">
      <c r="A126" s="34" t="s">
        <v>1651</v>
      </c>
      <c r="B126" s="34">
        <v>1361</v>
      </c>
      <c r="C126" s="34" t="s">
        <v>1652</v>
      </c>
      <c r="D126" s="41">
        <v>45939</v>
      </c>
      <c r="E126" s="34" t="s">
        <v>42</v>
      </c>
      <c r="F126" s="34" t="s">
        <v>1087</v>
      </c>
      <c r="G126" s="34">
        <v>2657226</v>
      </c>
      <c r="H126" s="34" t="s">
        <v>1578</v>
      </c>
      <c r="I126" s="34" t="s">
        <v>1655</v>
      </c>
      <c r="J126" s="47" t="s">
        <v>34</v>
      </c>
      <c r="K126" s="34" t="s">
        <v>1299</v>
      </c>
      <c r="L126" s="156"/>
      <c r="M126" s="151"/>
      <c r="N126" s="151"/>
      <c r="O126" s="151"/>
      <c r="P126" s="151"/>
      <c r="Q126" s="151"/>
      <c r="R126" s="1"/>
      <c r="T126" s="1"/>
      <c r="U126" s="1"/>
      <c r="V126" s="1"/>
      <c r="W126" s="1"/>
    </row>
    <row r="127" spans="1:23" ht="15" customHeight="1">
      <c r="A127" s="34" t="s">
        <v>1650</v>
      </c>
      <c r="B127" s="34">
        <v>1360</v>
      </c>
      <c r="C127" s="34" t="s">
        <v>1652</v>
      </c>
      <c r="D127" s="41">
        <v>45939</v>
      </c>
      <c r="E127" s="34" t="s">
        <v>42</v>
      </c>
      <c r="F127" s="34" t="s">
        <v>1653</v>
      </c>
      <c r="G127" s="34">
        <v>2655808</v>
      </c>
      <c r="H127" s="34" t="s">
        <v>1578</v>
      </c>
      <c r="I127" s="34" t="s">
        <v>1654</v>
      </c>
      <c r="J127" s="47" t="s">
        <v>34</v>
      </c>
      <c r="K127" s="34" t="s">
        <v>1299</v>
      </c>
      <c r="L127" s="156"/>
      <c r="M127" s="151"/>
      <c r="N127" s="151"/>
      <c r="O127" s="151"/>
      <c r="P127" s="151"/>
      <c r="Q127" s="151"/>
      <c r="R127" s="1"/>
      <c r="T127" s="1"/>
      <c r="U127" s="1"/>
      <c r="V127" s="1"/>
      <c r="W127" s="1"/>
    </row>
    <row r="128" spans="1:23" ht="15" customHeight="1">
      <c r="A128" s="34">
        <v>996</v>
      </c>
      <c r="B128" s="34">
        <v>1359</v>
      </c>
      <c r="C128" s="34" t="s">
        <v>1646</v>
      </c>
      <c r="D128" s="41">
        <v>45937</v>
      </c>
      <c r="E128" s="34" t="s">
        <v>25</v>
      </c>
      <c r="F128" s="34" t="s">
        <v>134</v>
      </c>
      <c r="G128" s="34" t="s">
        <v>1647</v>
      </c>
      <c r="H128" s="34" t="s">
        <v>1648</v>
      </c>
      <c r="I128" s="34" t="s">
        <v>1649</v>
      </c>
      <c r="J128" s="47" t="s">
        <v>34</v>
      </c>
      <c r="K128" s="34" t="s">
        <v>820</v>
      </c>
      <c r="L128" s="156"/>
      <c r="M128" s="151"/>
      <c r="N128" s="151"/>
      <c r="O128" s="151"/>
      <c r="P128" s="151"/>
      <c r="Q128" s="151"/>
      <c r="R128" s="1"/>
      <c r="T128" s="1"/>
      <c r="U128" s="1"/>
      <c r="V128" s="1"/>
      <c r="W128" s="1"/>
    </row>
    <row r="129" spans="1:23" ht="15" customHeight="1">
      <c r="A129" s="34">
        <v>995</v>
      </c>
      <c r="B129" s="34">
        <v>1358</v>
      </c>
      <c r="C129" s="34" t="s">
        <v>1642</v>
      </c>
      <c r="D129" s="41">
        <v>45937</v>
      </c>
      <c r="E129" s="34" t="s">
        <v>25</v>
      </c>
      <c r="F129" s="34" t="s">
        <v>1643</v>
      </c>
      <c r="G129" s="34" t="s">
        <v>1644</v>
      </c>
      <c r="H129" s="34" t="s">
        <v>899</v>
      </c>
      <c r="I129" s="34" t="s">
        <v>1645</v>
      </c>
      <c r="J129" s="47" t="s">
        <v>34</v>
      </c>
      <c r="K129" s="34" t="s">
        <v>820</v>
      </c>
      <c r="L129" s="156"/>
      <c r="M129" s="151"/>
      <c r="N129" s="151"/>
      <c r="O129" s="151"/>
      <c r="P129" s="151"/>
      <c r="Q129" s="151"/>
      <c r="R129" s="1"/>
      <c r="T129" s="1"/>
      <c r="U129" s="1"/>
      <c r="V129" s="1"/>
      <c r="W129" s="1"/>
    </row>
    <row r="130" spans="1:23" ht="15" customHeight="1">
      <c r="A130" s="34" t="s">
        <v>1628</v>
      </c>
      <c r="B130" s="34">
        <v>1348</v>
      </c>
      <c r="C130" s="34" t="s">
        <v>1242</v>
      </c>
      <c r="D130" s="34" t="s">
        <v>1634</v>
      </c>
      <c r="E130" s="34" t="s">
        <v>1492</v>
      </c>
      <c r="F130" s="34" t="s">
        <v>1256</v>
      </c>
      <c r="G130" s="34" t="s">
        <v>1636</v>
      </c>
      <c r="H130" s="34" t="s">
        <v>1639</v>
      </c>
      <c r="I130" s="34" t="s">
        <v>1070</v>
      </c>
      <c r="J130" s="47" t="s">
        <v>34</v>
      </c>
      <c r="K130" s="34" t="s">
        <v>820</v>
      </c>
      <c r="L130" s="156"/>
      <c r="M130" s="151"/>
      <c r="N130" s="151"/>
      <c r="O130" s="151"/>
      <c r="P130" s="151"/>
      <c r="Q130" s="151"/>
      <c r="R130" s="1"/>
      <c r="T130" s="1"/>
      <c r="U130" s="1"/>
      <c r="V130" s="1"/>
      <c r="W130" s="1"/>
    </row>
    <row r="131" spans="1:23" ht="15" customHeight="1">
      <c r="A131" s="34" t="s">
        <v>1629</v>
      </c>
      <c r="B131" s="34">
        <v>1349</v>
      </c>
      <c r="C131" s="34" t="s">
        <v>1242</v>
      </c>
      <c r="D131" s="34" t="s">
        <v>1634</v>
      </c>
      <c r="E131" s="34" t="s">
        <v>1492</v>
      </c>
      <c r="F131" s="34" t="s">
        <v>1635</v>
      </c>
      <c r="G131" s="34" t="s">
        <v>1597</v>
      </c>
      <c r="H131" s="34" t="s">
        <v>1639</v>
      </c>
      <c r="I131" s="34" t="s">
        <v>1640</v>
      </c>
      <c r="J131" s="47" t="s">
        <v>34</v>
      </c>
      <c r="K131" s="34" t="s">
        <v>820</v>
      </c>
      <c r="L131" s="156"/>
      <c r="M131" s="151"/>
      <c r="N131" s="151"/>
      <c r="O131" s="151"/>
      <c r="P131" s="151"/>
      <c r="Q131" s="151"/>
      <c r="R131" s="1"/>
      <c r="T131" s="1"/>
      <c r="U131" s="1"/>
      <c r="V131" s="1"/>
      <c r="W131" s="1"/>
    </row>
    <row r="132" spans="1:23" ht="15" customHeight="1">
      <c r="A132" s="34" t="s">
        <v>1630</v>
      </c>
      <c r="B132" s="34">
        <v>1353</v>
      </c>
      <c r="C132" s="34" t="s">
        <v>1242</v>
      </c>
      <c r="D132" s="34" t="s">
        <v>1634</v>
      </c>
      <c r="E132" s="34" t="s">
        <v>25</v>
      </c>
      <c r="F132" s="34" t="s">
        <v>1265</v>
      </c>
      <c r="G132" s="34" t="s">
        <v>1594</v>
      </c>
      <c r="H132" s="34" t="s">
        <v>1639</v>
      </c>
      <c r="I132" s="34" t="s">
        <v>1070</v>
      </c>
      <c r="J132" s="47" t="s">
        <v>34</v>
      </c>
      <c r="K132" s="34" t="s">
        <v>820</v>
      </c>
      <c r="L132" s="156"/>
      <c r="M132" s="151"/>
      <c r="N132" s="151"/>
      <c r="O132" s="151"/>
      <c r="P132" s="151"/>
      <c r="Q132" s="151"/>
      <c r="R132" s="1"/>
      <c r="T132" s="1"/>
      <c r="U132" s="1"/>
      <c r="V132" s="1"/>
      <c r="W132" s="1"/>
    </row>
    <row r="133" spans="1:23" ht="15" customHeight="1">
      <c r="A133" s="34" t="s">
        <v>1631</v>
      </c>
      <c r="B133" s="34">
        <v>1350</v>
      </c>
      <c r="C133" s="34" t="s">
        <v>1242</v>
      </c>
      <c r="D133" s="34" t="s">
        <v>1634</v>
      </c>
      <c r="E133" s="34" t="s">
        <v>25</v>
      </c>
      <c r="F133" s="34" t="s">
        <v>1265</v>
      </c>
      <c r="G133" s="34" t="s">
        <v>937</v>
      </c>
      <c r="H133" s="34" t="s">
        <v>1639</v>
      </c>
      <c r="I133" s="34" t="s">
        <v>1070</v>
      </c>
      <c r="J133" s="47" t="s">
        <v>34</v>
      </c>
      <c r="K133" s="34" t="s">
        <v>820</v>
      </c>
      <c r="L133" s="156"/>
      <c r="M133" s="151"/>
      <c r="N133" s="151"/>
      <c r="O133" s="151"/>
      <c r="P133" s="151"/>
      <c r="Q133" s="151"/>
      <c r="R133" s="1"/>
      <c r="T133" s="1"/>
      <c r="U133" s="1"/>
      <c r="V133" s="1"/>
      <c r="W133" s="1"/>
    </row>
    <row r="134" spans="1:23" ht="15" customHeight="1">
      <c r="A134" s="34" t="s">
        <v>1632</v>
      </c>
      <c r="B134" s="34">
        <v>1352</v>
      </c>
      <c r="C134" s="34" t="s">
        <v>1242</v>
      </c>
      <c r="D134" s="34" t="s">
        <v>1634</v>
      </c>
      <c r="E134" s="34" t="s">
        <v>25</v>
      </c>
      <c r="F134" s="34" t="s">
        <v>1265</v>
      </c>
      <c r="G134" s="34" t="s">
        <v>1593</v>
      </c>
      <c r="H134" s="34" t="s">
        <v>1639</v>
      </c>
      <c r="I134" s="34" t="s">
        <v>1070</v>
      </c>
      <c r="J134" s="47" t="s">
        <v>34</v>
      </c>
      <c r="K134" s="34" t="s">
        <v>820</v>
      </c>
      <c r="L134" s="156"/>
      <c r="M134" s="151"/>
      <c r="N134" s="151"/>
      <c r="O134" s="151"/>
      <c r="P134" s="151"/>
      <c r="Q134" s="151"/>
      <c r="R134" s="1"/>
      <c r="T134" s="1"/>
      <c r="U134" s="1"/>
      <c r="V134" s="1"/>
      <c r="W134" s="1"/>
    </row>
    <row r="135" spans="1:23" ht="15" customHeight="1">
      <c r="A135" s="34" t="s">
        <v>1633</v>
      </c>
      <c r="B135" s="34">
        <v>1356</v>
      </c>
      <c r="C135" s="34" t="s">
        <v>1242</v>
      </c>
      <c r="D135" s="34" t="s">
        <v>1634</v>
      </c>
      <c r="E135" s="34" t="s">
        <v>25</v>
      </c>
      <c r="F135" s="34" t="s">
        <v>1265</v>
      </c>
      <c r="G135" s="34" t="s">
        <v>1637</v>
      </c>
      <c r="H135" s="34" t="s">
        <v>1639</v>
      </c>
      <c r="I135" s="34" t="s">
        <v>1070</v>
      </c>
      <c r="J135" s="47" t="s">
        <v>34</v>
      </c>
      <c r="K135" s="34" t="s">
        <v>820</v>
      </c>
      <c r="L135" s="156"/>
      <c r="M135" s="151"/>
      <c r="N135" s="151"/>
      <c r="O135" s="151"/>
      <c r="P135" s="151"/>
      <c r="Q135" s="151"/>
      <c r="R135" s="1"/>
      <c r="T135" s="1"/>
      <c r="U135" s="1"/>
      <c r="V135" s="1"/>
      <c r="W135" s="1"/>
    </row>
    <row r="136" spans="1:23" ht="15" customHeight="1">
      <c r="A136" s="34" t="s">
        <v>1627</v>
      </c>
      <c r="B136" s="34">
        <v>1355</v>
      </c>
      <c r="C136" s="34" t="s">
        <v>1242</v>
      </c>
      <c r="D136" s="34" t="s">
        <v>1634</v>
      </c>
      <c r="E136" s="34" t="s">
        <v>25</v>
      </c>
      <c r="F136" s="34" t="s">
        <v>1581</v>
      </c>
      <c r="G136" s="34" t="s">
        <v>939</v>
      </c>
      <c r="H136" s="34" t="s">
        <v>1639</v>
      </c>
      <c r="I136" s="34" t="s">
        <v>1070</v>
      </c>
      <c r="J136" s="47" t="s">
        <v>34</v>
      </c>
      <c r="K136" s="34" t="s">
        <v>820</v>
      </c>
      <c r="L136" s="156"/>
      <c r="M136" s="151"/>
      <c r="N136" s="151"/>
      <c r="O136" s="151"/>
      <c r="P136" s="151"/>
      <c r="Q136" s="151"/>
      <c r="R136" s="1"/>
      <c r="T136" s="1"/>
      <c r="U136" s="1"/>
      <c r="V136" s="1"/>
      <c r="W136" s="1"/>
    </row>
    <row r="137" spans="1:23" ht="15" customHeight="1">
      <c r="A137" s="34" t="s">
        <v>1626</v>
      </c>
      <c r="B137" s="34">
        <v>1354</v>
      </c>
      <c r="C137" s="34" t="s">
        <v>1242</v>
      </c>
      <c r="D137" s="34" t="s">
        <v>1634</v>
      </c>
      <c r="E137" s="34" t="s">
        <v>25</v>
      </c>
      <c r="F137" s="34" t="s">
        <v>1581</v>
      </c>
      <c r="G137" s="34" t="s">
        <v>1618</v>
      </c>
      <c r="H137" s="34" t="s">
        <v>1639</v>
      </c>
      <c r="I137" s="34" t="s">
        <v>1070</v>
      </c>
      <c r="J137" s="47" t="s">
        <v>34</v>
      </c>
      <c r="K137" s="34" t="s">
        <v>820</v>
      </c>
      <c r="L137" s="156"/>
      <c r="M137" s="151"/>
      <c r="N137" s="151"/>
      <c r="O137" s="151"/>
      <c r="P137" s="151"/>
      <c r="Q137" s="151"/>
      <c r="R137" s="1"/>
      <c r="T137" s="1"/>
      <c r="U137" s="1"/>
      <c r="V137" s="1"/>
      <c r="W137" s="1"/>
    </row>
    <row r="138" spans="1:23" ht="15" customHeight="1">
      <c r="A138" s="34" t="s">
        <v>1625</v>
      </c>
      <c r="B138" s="34">
        <v>1351</v>
      </c>
      <c r="C138" s="34" t="s">
        <v>1242</v>
      </c>
      <c r="D138" s="34" t="s">
        <v>1634</v>
      </c>
      <c r="E138" s="34" t="s">
        <v>25</v>
      </c>
      <c r="F138" s="34" t="s">
        <v>1581</v>
      </c>
      <c r="G138" s="34" t="s">
        <v>1638</v>
      </c>
      <c r="H138" s="34" t="s">
        <v>1639</v>
      </c>
      <c r="I138" s="34" t="s">
        <v>1070</v>
      </c>
      <c r="J138" s="47" t="s">
        <v>34</v>
      </c>
      <c r="K138" s="34" t="s">
        <v>820</v>
      </c>
      <c r="L138" s="156"/>
      <c r="M138" s="151"/>
      <c r="N138" s="151"/>
      <c r="O138" s="151"/>
      <c r="P138" s="151"/>
      <c r="Q138" s="151"/>
      <c r="R138" s="1"/>
      <c r="T138" s="1"/>
      <c r="U138" s="1"/>
      <c r="V138" s="1"/>
      <c r="W138" s="1"/>
    </row>
    <row r="139" spans="1:23" ht="15" customHeight="1">
      <c r="A139" s="34">
        <v>992</v>
      </c>
      <c r="B139" s="34">
        <v>1345</v>
      </c>
      <c r="C139" s="34" t="s">
        <v>1622</v>
      </c>
      <c r="D139" s="41">
        <v>45929</v>
      </c>
      <c r="E139" s="34" t="s">
        <v>25</v>
      </c>
      <c r="F139" s="34" t="s">
        <v>1623</v>
      </c>
      <c r="G139" s="34"/>
      <c r="H139" s="34" t="s">
        <v>1624</v>
      </c>
      <c r="I139" s="34"/>
      <c r="J139" s="47" t="s">
        <v>34</v>
      </c>
      <c r="K139" s="34" t="s">
        <v>820</v>
      </c>
      <c r="L139" s="156"/>
      <c r="M139" s="151"/>
      <c r="N139" s="151"/>
      <c r="O139" s="151"/>
      <c r="P139" s="151"/>
      <c r="Q139" s="151"/>
      <c r="R139" s="1"/>
      <c r="T139" s="1"/>
      <c r="U139" s="1"/>
      <c r="V139" s="1"/>
      <c r="W139" s="1"/>
    </row>
    <row r="140" spans="1:23" ht="15" customHeight="1">
      <c r="A140" s="34">
        <v>991</v>
      </c>
      <c r="B140" s="34">
        <v>1347</v>
      </c>
      <c r="C140" s="34" t="s">
        <v>1619</v>
      </c>
      <c r="D140" s="41">
        <v>45926</v>
      </c>
      <c r="E140" s="34" t="s">
        <v>25</v>
      </c>
      <c r="F140" s="34" t="s">
        <v>343</v>
      </c>
      <c r="G140" s="34" t="s">
        <v>1620</v>
      </c>
      <c r="H140" s="34" t="s">
        <v>1621</v>
      </c>
      <c r="I140" s="34"/>
      <c r="J140" s="47" t="s">
        <v>34</v>
      </c>
      <c r="K140" s="34" t="s">
        <v>820</v>
      </c>
      <c r="L140" s="156"/>
      <c r="M140" s="151"/>
      <c r="N140" s="151"/>
      <c r="O140" s="151"/>
      <c r="P140" s="151"/>
      <c r="Q140" s="151"/>
      <c r="R140" s="1"/>
      <c r="T140" s="1"/>
      <c r="U140" s="1"/>
      <c r="V140" s="1"/>
      <c r="W140" s="1"/>
    </row>
    <row r="141" spans="1:23" ht="15" customHeight="1">
      <c r="A141" s="34">
        <v>990</v>
      </c>
      <c r="B141" s="34">
        <v>1342</v>
      </c>
      <c r="C141" s="34" t="s">
        <v>1217</v>
      </c>
      <c r="D141" s="41">
        <v>45924</v>
      </c>
      <c r="E141" s="34" t="s">
        <v>1492</v>
      </c>
      <c r="F141" s="34" t="s">
        <v>169</v>
      </c>
      <c r="G141" s="34" t="s">
        <v>1617</v>
      </c>
      <c r="H141" s="34" t="s">
        <v>1578</v>
      </c>
      <c r="I141" s="34"/>
      <c r="J141" s="47" t="s">
        <v>34</v>
      </c>
      <c r="K141" s="34" t="s">
        <v>820</v>
      </c>
      <c r="L141" s="156"/>
      <c r="M141" s="151"/>
      <c r="N141" s="151"/>
      <c r="O141" s="151"/>
      <c r="P141" s="151"/>
      <c r="Q141" s="151"/>
      <c r="R141" s="1"/>
      <c r="T141" s="1"/>
      <c r="U141" s="1"/>
      <c r="V141" s="1"/>
      <c r="W141" s="1"/>
    </row>
    <row r="142" spans="1:23" ht="15" customHeight="1">
      <c r="A142" s="34">
        <v>989</v>
      </c>
      <c r="B142" s="34"/>
      <c r="C142" s="34" t="s">
        <v>1612</v>
      </c>
      <c r="D142" s="41">
        <v>45923</v>
      </c>
      <c r="E142" s="34" t="s">
        <v>25</v>
      </c>
      <c r="F142" s="34" t="s">
        <v>1613</v>
      </c>
      <c r="G142" s="34" t="s">
        <v>1614</v>
      </c>
      <c r="H142" s="34" t="s">
        <v>1615</v>
      </c>
      <c r="I142" s="34" t="s">
        <v>1616</v>
      </c>
      <c r="J142" s="47" t="s">
        <v>34</v>
      </c>
      <c r="K142" s="34" t="s">
        <v>820</v>
      </c>
      <c r="L142" s="156"/>
      <c r="M142" s="151"/>
      <c r="N142" s="151"/>
      <c r="O142" s="151"/>
      <c r="P142" s="151"/>
      <c r="Q142" s="151"/>
      <c r="R142" s="1"/>
      <c r="T142" s="1"/>
      <c r="U142" s="1"/>
      <c r="V142" s="1"/>
      <c r="W142" s="1"/>
    </row>
    <row r="143" spans="1:23" ht="15" customHeight="1">
      <c r="A143" s="34">
        <v>988</v>
      </c>
      <c r="B143" s="34"/>
      <c r="C143" s="34" t="s">
        <v>1288</v>
      </c>
      <c r="D143" s="41">
        <v>45923</v>
      </c>
      <c r="E143" s="34" t="s">
        <v>25</v>
      </c>
      <c r="F143" s="34" t="s">
        <v>1590</v>
      </c>
      <c r="G143" s="34"/>
      <c r="H143" s="34" t="s">
        <v>1611</v>
      </c>
      <c r="I143" s="34"/>
      <c r="J143" s="47" t="s">
        <v>34</v>
      </c>
      <c r="K143" s="34" t="s">
        <v>820</v>
      </c>
      <c r="L143" s="156"/>
      <c r="M143" s="151"/>
      <c r="N143" s="151"/>
      <c r="O143" s="151"/>
      <c r="P143" s="151"/>
      <c r="Q143" s="151"/>
      <c r="R143" s="1"/>
      <c r="T143" s="1"/>
      <c r="U143" s="1"/>
      <c r="V143" s="1"/>
      <c r="W143" s="1"/>
    </row>
    <row r="144" spans="1:23" ht="15" customHeight="1">
      <c r="A144" s="34">
        <v>987</v>
      </c>
      <c r="B144" s="34"/>
      <c r="C144" s="34" t="s">
        <v>1288</v>
      </c>
      <c r="D144" s="41">
        <v>45922</v>
      </c>
      <c r="E144" s="34" t="s">
        <v>25</v>
      </c>
      <c r="F144" s="34" t="s">
        <v>1609</v>
      </c>
      <c r="G144" s="34"/>
      <c r="H144" s="34" t="s">
        <v>1610</v>
      </c>
      <c r="I144" s="34"/>
      <c r="J144" s="47" t="s">
        <v>34</v>
      </c>
      <c r="K144" s="34" t="s">
        <v>1299</v>
      </c>
      <c r="L144" s="156"/>
      <c r="M144" s="151"/>
      <c r="N144" s="151"/>
      <c r="O144" s="151"/>
      <c r="P144" s="151"/>
      <c r="Q144" s="151"/>
      <c r="R144" s="1"/>
      <c r="T144" s="1"/>
      <c r="U144" s="1"/>
      <c r="V144" s="1"/>
      <c r="W144" s="1"/>
    </row>
    <row r="145" spans="1:23" ht="15" customHeight="1">
      <c r="A145" s="34">
        <v>986</v>
      </c>
      <c r="B145" s="34">
        <v>1343</v>
      </c>
      <c r="C145" s="34" t="s">
        <v>1606</v>
      </c>
      <c r="D145" s="41">
        <v>45922</v>
      </c>
      <c r="E145" s="34" t="s">
        <v>1607</v>
      </c>
      <c r="F145" s="34" t="s">
        <v>1608</v>
      </c>
      <c r="G145" s="34" t="s">
        <v>1014</v>
      </c>
      <c r="H145" s="34" t="s">
        <v>1578</v>
      </c>
      <c r="I145" s="34"/>
      <c r="J145" s="47" t="s">
        <v>34</v>
      </c>
      <c r="K145" s="49" t="s">
        <v>1911</v>
      </c>
      <c r="L145" s="156"/>
      <c r="M145" s="151"/>
      <c r="N145" s="151"/>
      <c r="O145" s="151"/>
      <c r="P145" s="151"/>
      <c r="Q145" s="151"/>
      <c r="R145" s="1"/>
      <c r="T145" s="1"/>
      <c r="U145" s="1"/>
      <c r="V145" s="1"/>
      <c r="W145" s="1"/>
    </row>
    <row r="146" spans="1:23" ht="15" customHeight="1">
      <c r="A146" s="34">
        <v>985</v>
      </c>
      <c r="B146" s="34">
        <v>1342</v>
      </c>
      <c r="C146" s="34" t="s">
        <v>1603</v>
      </c>
      <c r="D146" s="41">
        <v>45922</v>
      </c>
      <c r="E146" s="40" t="s">
        <v>775</v>
      </c>
      <c r="F146" s="34" t="s">
        <v>1604</v>
      </c>
      <c r="G146" s="34"/>
      <c r="H146" s="34" t="s">
        <v>1605</v>
      </c>
      <c r="I146" s="34"/>
      <c r="J146" s="47" t="s">
        <v>34</v>
      </c>
      <c r="K146" s="34" t="s">
        <v>1299</v>
      </c>
      <c r="L146" s="156"/>
      <c r="M146" s="151"/>
      <c r="N146" s="151"/>
      <c r="O146" s="151"/>
      <c r="P146" s="151"/>
      <c r="Q146" s="151"/>
      <c r="R146" s="1"/>
      <c r="T146" s="1"/>
      <c r="U146" s="1"/>
      <c r="V146" s="1"/>
      <c r="W146" s="1"/>
    </row>
    <row r="147" spans="1:23" ht="15" customHeight="1">
      <c r="A147" s="34">
        <v>984</v>
      </c>
      <c r="B147" s="34">
        <v>1341</v>
      </c>
      <c r="C147" s="34" t="s">
        <v>1599</v>
      </c>
      <c r="D147" s="41">
        <v>45918</v>
      </c>
      <c r="E147" s="34" t="s">
        <v>1492</v>
      </c>
      <c r="F147" s="34" t="s">
        <v>1601</v>
      </c>
      <c r="G147" s="34" t="s">
        <v>1600</v>
      </c>
      <c r="H147" s="34" t="s">
        <v>1602</v>
      </c>
      <c r="I147" s="34"/>
      <c r="J147" s="47" t="s">
        <v>34</v>
      </c>
      <c r="K147" s="34" t="s">
        <v>820</v>
      </c>
      <c r="L147" s="156"/>
      <c r="M147" s="151"/>
      <c r="N147" s="151"/>
      <c r="O147" s="151"/>
      <c r="P147" s="151"/>
      <c r="Q147" s="151"/>
      <c r="R147" s="1"/>
      <c r="T147" s="1"/>
      <c r="U147" s="1"/>
      <c r="V147" s="1"/>
      <c r="W147" s="1"/>
    </row>
    <row r="148" spans="1:23" ht="15" customHeight="1">
      <c r="A148" s="34">
        <v>983</v>
      </c>
      <c r="B148" s="34"/>
      <c r="C148" s="34" t="s">
        <v>1589</v>
      </c>
      <c r="D148" s="41">
        <v>45917</v>
      </c>
      <c r="E148" s="40" t="s">
        <v>775</v>
      </c>
      <c r="F148" s="34" t="s">
        <v>1590</v>
      </c>
      <c r="G148" s="34" t="s">
        <v>775</v>
      </c>
      <c r="H148" s="34" t="s">
        <v>1591</v>
      </c>
      <c r="I148" s="34" t="s">
        <v>1592</v>
      </c>
      <c r="J148" s="47" t="s">
        <v>34</v>
      </c>
      <c r="K148" s="34" t="s">
        <v>820</v>
      </c>
      <c r="L148" s="156"/>
      <c r="M148" s="151"/>
      <c r="N148" s="151"/>
      <c r="O148" s="151"/>
      <c r="P148" s="151"/>
      <c r="Q148" s="151"/>
      <c r="R148" s="1"/>
      <c r="T148" s="1"/>
      <c r="U148" s="1"/>
      <c r="V148" s="1"/>
      <c r="W148" s="1"/>
    </row>
    <row r="149" spans="1:23" ht="15" customHeight="1">
      <c r="A149" s="34">
        <v>982</v>
      </c>
      <c r="B149" s="34"/>
      <c r="C149" s="34" t="s">
        <v>1587</v>
      </c>
      <c r="D149" s="41">
        <v>45917</v>
      </c>
      <c r="E149" s="34" t="s">
        <v>954</v>
      </c>
      <c r="F149" s="34" t="s">
        <v>393</v>
      </c>
      <c r="G149" s="34">
        <v>2020110092</v>
      </c>
      <c r="H149" s="34" t="s">
        <v>1578</v>
      </c>
      <c r="I149" s="34" t="s">
        <v>1588</v>
      </c>
      <c r="J149" s="47" t="s">
        <v>34</v>
      </c>
      <c r="K149" s="49" t="s">
        <v>1285</v>
      </c>
      <c r="L149" s="156"/>
      <c r="M149" s="151"/>
      <c r="N149" s="151"/>
      <c r="O149" s="151"/>
      <c r="P149" s="151"/>
      <c r="Q149" s="151"/>
      <c r="R149" s="1"/>
      <c r="T149" s="1"/>
      <c r="U149" s="1"/>
      <c r="V149" s="1"/>
      <c r="W149" s="1"/>
    </row>
    <row r="150" spans="1:23" ht="15" customHeight="1">
      <c r="A150" s="34">
        <v>981</v>
      </c>
      <c r="B150" s="34">
        <v>1403</v>
      </c>
      <c r="C150" s="34" t="s">
        <v>1583</v>
      </c>
      <c r="D150" s="41">
        <v>45917</v>
      </c>
      <c r="E150" s="34" t="s">
        <v>88</v>
      </c>
      <c r="F150" s="34" t="s">
        <v>1584</v>
      </c>
      <c r="G150" s="34" t="s">
        <v>1585</v>
      </c>
      <c r="H150" s="34" t="s">
        <v>1578</v>
      </c>
      <c r="I150" s="34" t="s">
        <v>1586</v>
      </c>
      <c r="J150" s="69" t="s">
        <v>50</v>
      </c>
      <c r="K150" s="34" t="s">
        <v>51</v>
      </c>
      <c r="L150" s="156"/>
      <c r="M150" s="151"/>
      <c r="N150" s="151"/>
      <c r="O150" s="151"/>
      <c r="P150" s="151"/>
      <c r="Q150" s="151"/>
      <c r="R150" s="1"/>
      <c r="T150" s="1"/>
      <c r="U150" s="1"/>
      <c r="V150" s="1"/>
      <c r="W150" s="1"/>
    </row>
    <row r="151" spans="1:23" ht="15" customHeight="1">
      <c r="A151" s="34">
        <v>980</v>
      </c>
      <c r="B151" s="34">
        <v>1338</v>
      </c>
      <c r="C151" s="34" t="s">
        <v>1580</v>
      </c>
      <c r="D151" s="41">
        <v>45915</v>
      </c>
      <c r="E151" s="34" t="s">
        <v>25</v>
      </c>
      <c r="F151" s="34" t="s">
        <v>1581</v>
      </c>
      <c r="G151" s="34" t="s">
        <v>1582</v>
      </c>
      <c r="H151" s="34" t="s">
        <v>1578</v>
      </c>
      <c r="I151" s="34" t="s">
        <v>1248</v>
      </c>
      <c r="J151" s="47" t="s">
        <v>34</v>
      </c>
      <c r="K151" s="49" t="s">
        <v>1285</v>
      </c>
      <c r="L151" s="156"/>
      <c r="M151" s="151"/>
      <c r="N151" s="151"/>
      <c r="O151" s="151"/>
      <c r="P151" s="151"/>
      <c r="Q151" s="151"/>
      <c r="R151" s="1"/>
      <c r="T151" s="1"/>
      <c r="U151" s="1"/>
      <c r="V151" s="1"/>
      <c r="W151" s="1"/>
    </row>
    <row r="152" spans="1:23" ht="15" customHeight="1">
      <c r="A152" s="34">
        <v>978</v>
      </c>
      <c r="B152" s="34"/>
      <c r="C152" s="34" t="s">
        <v>1575</v>
      </c>
      <c r="D152" s="41">
        <v>45912</v>
      </c>
      <c r="E152" s="34" t="s">
        <v>25</v>
      </c>
      <c r="F152" s="34" t="s">
        <v>1576</v>
      </c>
      <c r="G152" s="34" t="s">
        <v>1577</v>
      </c>
      <c r="H152" s="34" t="s">
        <v>1578</v>
      </c>
      <c r="I152" s="34" t="s">
        <v>1579</v>
      </c>
      <c r="J152" s="47" t="s">
        <v>34</v>
      </c>
      <c r="K152" s="34" t="s">
        <v>820</v>
      </c>
      <c r="L152" s="156"/>
      <c r="M152" s="151"/>
      <c r="N152" s="151"/>
      <c r="O152" s="151"/>
      <c r="P152" s="151"/>
      <c r="Q152" s="151"/>
      <c r="R152" s="1"/>
      <c r="T152" s="1"/>
      <c r="U152" s="1"/>
      <c r="V152" s="1"/>
      <c r="W152" s="1"/>
    </row>
    <row r="153" spans="1:23" ht="15" customHeight="1">
      <c r="A153" s="34">
        <v>977</v>
      </c>
      <c r="B153" s="34"/>
      <c r="C153" s="34" t="s">
        <v>1571</v>
      </c>
      <c r="D153" s="41">
        <v>45910</v>
      </c>
      <c r="E153" s="34" t="s">
        <v>25</v>
      </c>
      <c r="F153" s="34" t="s">
        <v>1572</v>
      </c>
      <c r="G153" s="34" t="s">
        <v>1573</v>
      </c>
      <c r="H153" s="34" t="s">
        <v>899</v>
      </c>
      <c r="I153" s="34" t="s">
        <v>1574</v>
      </c>
      <c r="J153" s="47" t="s">
        <v>34</v>
      </c>
      <c r="K153" s="34" t="s">
        <v>820</v>
      </c>
      <c r="L153" s="156"/>
      <c r="M153" s="151"/>
      <c r="N153" s="151"/>
      <c r="O153" s="151"/>
      <c r="P153" s="151"/>
      <c r="Q153" s="151"/>
      <c r="R153" s="1"/>
      <c r="T153" s="1"/>
      <c r="U153" s="1"/>
      <c r="V153" s="1"/>
      <c r="W153" s="1"/>
    </row>
    <row r="154" spans="1:23" ht="15" customHeight="1">
      <c r="A154" s="34" t="s">
        <v>1564</v>
      </c>
      <c r="B154" s="34"/>
      <c r="C154" s="34" t="s">
        <v>1565</v>
      </c>
      <c r="D154" s="41">
        <v>45909</v>
      </c>
      <c r="E154" s="34" t="s">
        <v>25</v>
      </c>
      <c r="F154" s="34" t="s">
        <v>1566</v>
      </c>
      <c r="G154" s="34" t="s">
        <v>1568</v>
      </c>
      <c r="H154" s="34" t="s">
        <v>1569</v>
      </c>
      <c r="I154" s="34" t="s">
        <v>1570</v>
      </c>
      <c r="J154" s="47" t="s">
        <v>34</v>
      </c>
      <c r="K154" s="34" t="s">
        <v>820</v>
      </c>
      <c r="L154" s="156"/>
      <c r="M154" s="151"/>
      <c r="N154" s="151"/>
      <c r="O154" s="151"/>
      <c r="P154" s="151"/>
      <c r="Q154" s="151"/>
      <c r="R154" s="1"/>
      <c r="T154" s="1"/>
      <c r="U154" s="1"/>
      <c r="V154" s="1"/>
      <c r="W154" s="1"/>
    </row>
    <row r="155" spans="1:23" ht="15" customHeight="1">
      <c r="A155" s="34" t="s">
        <v>1563</v>
      </c>
      <c r="B155" s="34">
        <v>1332</v>
      </c>
      <c r="C155" s="34" t="s">
        <v>1565</v>
      </c>
      <c r="D155" s="41">
        <v>45909</v>
      </c>
      <c r="E155" s="34" t="s">
        <v>25</v>
      </c>
      <c r="F155" s="34" t="s">
        <v>1566</v>
      </c>
      <c r="G155" s="34" t="s">
        <v>1567</v>
      </c>
      <c r="H155" s="34" t="s">
        <v>899</v>
      </c>
      <c r="I155" s="34" t="s">
        <v>1570</v>
      </c>
      <c r="J155" s="47" t="s">
        <v>34</v>
      </c>
      <c r="K155" s="34" t="s">
        <v>820</v>
      </c>
      <c r="L155" s="156"/>
      <c r="M155" s="151"/>
      <c r="N155" s="151"/>
      <c r="O155" s="151"/>
      <c r="P155" s="151"/>
      <c r="Q155" s="151"/>
      <c r="R155" s="1"/>
      <c r="T155" s="1"/>
      <c r="U155" s="1"/>
      <c r="V155" s="1"/>
      <c r="W155" s="1"/>
    </row>
    <row r="156" spans="1:23" ht="15" customHeight="1">
      <c r="A156" s="34">
        <v>975</v>
      </c>
      <c r="B156" s="34">
        <v>1335</v>
      </c>
      <c r="C156" s="34" t="s">
        <v>1559</v>
      </c>
      <c r="D156" s="34" t="s">
        <v>1560</v>
      </c>
      <c r="E156" s="34" t="s">
        <v>25</v>
      </c>
      <c r="F156" s="34" t="s">
        <v>1561</v>
      </c>
      <c r="G156" s="34" t="s">
        <v>775</v>
      </c>
      <c r="H156" s="34" t="s">
        <v>1562</v>
      </c>
      <c r="I156" s="34" t="s">
        <v>40</v>
      </c>
      <c r="J156" s="47" t="s">
        <v>34</v>
      </c>
      <c r="K156" s="34" t="s">
        <v>820</v>
      </c>
      <c r="L156" s="156"/>
      <c r="M156" s="151"/>
      <c r="N156" s="151"/>
      <c r="O156" s="151"/>
      <c r="P156" s="151"/>
      <c r="Q156" s="151"/>
      <c r="R156" s="1"/>
      <c r="T156" s="1"/>
      <c r="U156" s="1"/>
      <c r="V156" s="1"/>
      <c r="W156" s="1"/>
    </row>
    <row r="157" spans="1:23" ht="15" customHeight="1">
      <c r="A157" s="34">
        <v>974</v>
      </c>
      <c r="B157" s="34">
        <v>134</v>
      </c>
      <c r="C157" s="34" t="s">
        <v>1242</v>
      </c>
      <c r="D157" s="41">
        <v>45905</v>
      </c>
      <c r="E157" s="34" t="s">
        <v>25</v>
      </c>
      <c r="F157" s="34" t="s">
        <v>1556</v>
      </c>
      <c r="G157" s="34" t="s">
        <v>1557</v>
      </c>
      <c r="H157" s="34" t="s">
        <v>1558</v>
      </c>
      <c r="I157" s="34" t="s">
        <v>1070</v>
      </c>
      <c r="J157" s="47" t="s">
        <v>34</v>
      </c>
      <c r="K157" s="34" t="s">
        <v>820</v>
      </c>
      <c r="L157" s="156"/>
      <c r="M157" s="151"/>
      <c r="N157" s="151"/>
      <c r="O157" s="151"/>
      <c r="P157" s="151"/>
      <c r="Q157" s="151"/>
      <c r="R157" s="1"/>
      <c r="T157" s="1"/>
      <c r="U157" s="1"/>
      <c r="V157" s="1"/>
      <c r="W157" s="1"/>
    </row>
    <row r="158" spans="1:23" ht="15" customHeight="1">
      <c r="A158" s="34">
        <v>973</v>
      </c>
      <c r="B158" s="34">
        <v>1330</v>
      </c>
      <c r="C158" s="34" t="s">
        <v>1551</v>
      </c>
      <c r="D158" s="41">
        <v>45902</v>
      </c>
      <c r="E158" s="34" t="s">
        <v>478</v>
      </c>
      <c r="F158" s="34" t="s">
        <v>1552</v>
      </c>
      <c r="G158" s="34" t="s">
        <v>1553</v>
      </c>
      <c r="H158" s="34" t="s">
        <v>1554</v>
      </c>
      <c r="I158" s="34" t="s">
        <v>1555</v>
      </c>
      <c r="J158" s="47" t="s">
        <v>34</v>
      </c>
      <c r="K158" s="34" t="s">
        <v>820</v>
      </c>
      <c r="L158" s="156"/>
      <c r="M158" s="151"/>
      <c r="N158" s="151"/>
      <c r="O158" s="151"/>
      <c r="P158" s="151"/>
      <c r="Q158" s="151"/>
      <c r="R158" s="1"/>
      <c r="T158" s="1"/>
      <c r="U158" s="1"/>
      <c r="V158" s="1"/>
      <c r="W158" s="1"/>
    </row>
    <row r="159" spans="1:23" ht="15" customHeight="1">
      <c r="A159" s="34">
        <v>972</v>
      </c>
      <c r="B159" s="34"/>
      <c r="C159" s="34" t="s">
        <v>1391</v>
      </c>
      <c r="D159" s="41">
        <v>45902</v>
      </c>
      <c r="E159" s="34" t="s">
        <v>25</v>
      </c>
      <c r="F159" s="34" t="s">
        <v>72</v>
      </c>
      <c r="G159" s="34" t="s">
        <v>1392</v>
      </c>
      <c r="H159" s="34" t="s">
        <v>1549</v>
      </c>
      <c r="I159" s="34" t="s">
        <v>1550</v>
      </c>
      <c r="J159" s="47" t="s">
        <v>34</v>
      </c>
      <c r="K159" s="34" t="s">
        <v>820</v>
      </c>
      <c r="L159" s="156"/>
      <c r="M159" s="151"/>
      <c r="N159" s="151"/>
      <c r="O159" s="151"/>
      <c r="P159" s="151"/>
      <c r="Q159" s="151"/>
      <c r="R159" s="1"/>
      <c r="T159" s="1"/>
      <c r="U159" s="1"/>
      <c r="V159" s="1"/>
      <c r="W159" s="1"/>
    </row>
    <row r="160" spans="1:23" ht="15" customHeight="1">
      <c r="A160" s="34">
        <v>971</v>
      </c>
      <c r="B160" s="34">
        <v>1331</v>
      </c>
      <c r="C160" s="34" t="s">
        <v>1544</v>
      </c>
      <c r="D160" s="41">
        <v>45902</v>
      </c>
      <c r="E160" s="34" t="s">
        <v>25</v>
      </c>
      <c r="F160" s="34" t="s">
        <v>1545</v>
      </c>
      <c r="G160" s="34" t="s">
        <v>1546</v>
      </c>
      <c r="H160" s="34" t="s">
        <v>1547</v>
      </c>
      <c r="I160" s="34" t="s">
        <v>1548</v>
      </c>
      <c r="J160" s="47" t="s">
        <v>34</v>
      </c>
      <c r="K160" s="34" t="s">
        <v>820</v>
      </c>
      <c r="L160" s="156"/>
      <c r="M160" s="151"/>
      <c r="N160" s="151"/>
      <c r="O160" s="151"/>
      <c r="P160" s="151"/>
      <c r="Q160" s="151"/>
      <c r="R160" s="1"/>
      <c r="T160" s="1"/>
      <c r="U160" s="1"/>
      <c r="V160" s="1"/>
      <c r="W160" s="1"/>
    </row>
    <row r="161" spans="1:23" ht="15" customHeight="1">
      <c r="A161" s="34" t="s">
        <v>1531</v>
      </c>
      <c r="B161" s="34">
        <v>1329</v>
      </c>
      <c r="C161" s="34" t="s">
        <v>1532</v>
      </c>
      <c r="D161" s="41">
        <v>45901</v>
      </c>
      <c r="E161" s="34" t="s">
        <v>25</v>
      </c>
      <c r="F161" s="34" t="s">
        <v>451</v>
      </c>
      <c r="G161" s="34" t="s">
        <v>1533</v>
      </c>
      <c r="H161" s="34" t="s">
        <v>1533</v>
      </c>
      <c r="I161" s="34" t="s">
        <v>1534</v>
      </c>
      <c r="J161" s="47" t="s">
        <v>34</v>
      </c>
      <c r="K161" s="34" t="s">
        <v>820</v>
      </c>
      <c r="L161" s="156"/>
      <c r="M161" s="151"/>
      <c r="N161" s="151"/>
      <c r="O161" s="151"/>
      <c r="P161" s="151"/>
      <c r="Q161" s="151"/>
      <c r="R161" s="1"/>
      <c r="T161" s="1"/>
      <c r="U161" s="1"/>
      <c r="V161" s="1"/>
      <c r="W161" s="1"/>
    </row>
    <row r="162" spans="1:23" ht="15" customHeight="1">
      <c r="A162" s="34" t="s">
        <v>1528</v>
      </c>
      <c r="B162" s="40" t="s">
        <v>13</v>
      </c>
      <c r="C162" s="34" t="s">
        <v>180</v>
      </c>
      <c r="D162" s="41">
        <v>45896</v>
      </c>
      <c r="E162" s="34" t="s">
        <v>1492</v>
      </c>
      <c r="F162" s="34" t="s">
        <v>1529</v>
      </c>
      <c r="G162" s="34"/>
      <c r="H162" s="34"/>
      <c r="I162" s="34" t="s">
        <v>1530</v>
      </c>
      <c r="J162" s="47" t="s">
        <v>34</v>
      </c>
      <c r="K162" s="34" t="s">
        <v>820</v>
      </c>
      <c r="L162" s="156"/>
      <c r="M162" s="151"/>
      <c r="N162" s="151"/>
      <c r="O162" s="151"/>
      <c r="P162" s="151"/>
      <c r="Q162" s="151"/>
      <c r="R162" s="1"/>
      <c r="T162" s="1"/>
      <c r="U162" s="1"/>
      <c r="V162" s="1"/>
      <c r="W162" s="1"/>
    </row>
    <row r="163" spans="1:23" ht="15" customHeight="1">
      <c r="A163" s="34" t="s">
        <v>1524</v>
      </c>
      <c r="B163" s="34">
        <v>1325</v>
      </c>
      <c r="C163" s="34" t="s">
        <v>1525</v>
      </c>
      <c r="D163" s="34" t="s">
        <v>1519</v>
      </c>
      <c r="E163" s="34" t="s">
        <v>25</v>
      </c>
      <c r="F163" s="34" t="s">
        <v>1526</v>
      </c>
      <c r="G163" s="34" t="s">
        <v>1527</v>
      </c>
      <c r="H163" s="34" t="s">
        <v>1522</v>
      </c>
      <c r="I163" s="34" t="s">
        <v>1406</v>
      </c>
      <c r="J163" s="47" t="s">
        <v>34</v>
      </c>
      <c r="K163" s="34" t="s">
        <v>1299</v>
      </c>
      <c r="L163" s="156"/>
      <c r="M163" s="151"/>
      <c r="N163" s="151"/>
      <c r="O163" s="151"/>
      <c r="P163" s="151"/>
      <c r="Q163" s="151"/>
      <c r="R163" s="1"/>
      <c r="T163" s="1"/>
      <c r="U163" s="1"/>
      <c r="V163" s="1"/>
      <c r="W163" s="1"/>
    </row>
    <row r="164" spans="1:23" ht="15" customHeight="1">
      <c r="A164" s="34" t="s">
        <v>1517</v>
      </c>
      <c r="B164" s="34">
        <v>1324</v>
      </c>
      <c r="C164" s="34" t="s">
        <v>1518</v>
      </c>
      <c r="D164" s="34" t="s">
        <v>1519</v>
      </c>
      <c r="E164" s="34" t="s">
        <v>25</v>
      </c>
      <c r="F164" s="34" t="s">
        <v>1520</v>
      </c>
      <c r="G164" s="34" t="s">
        <v>1521</v>
      </c>
      <c r="H164" s="34" t="s">
        <v>1522</v>
      </c>
      <c r="I164" s="34" t="s">
        <v>1523</v>
      </c>
      <c r="J164" s="69" t="s">
        <v>50</v>
      </c>
      <c r="K164" s="34" t="s">
        <v>51</v>
      </c>
      <c r="L164" s="156"/>
      <c r="M164" s="151"/>
      <c r="N164" s="151"/>
      <c r="O164" s="151"/>
      <c r="P164" s="151"/>
      <c r="Q164" s="151"/>
      <c r="R164" s="1"/>
      <c r="T164" s="1"/>
      <c r="U164" s="1"/>
      <c r="V164" s="1"/>
      <c r="W164" s="1"/>
    </row>
    <row r="165" spans="1:23" ht="15" customHeight="1">
      <c r="A165" s="34" t="s">
        <v>1511</v>
      </c>
      <c r="B165" s="40" t="s">
        <v>13</v>
      </c>
      <c r="C165" s="34" t="s">
        <v>180</v>
      </c>
      <c r="D165" s="34" t="s">
        <v>1512</v>
      </c>
      <c r="E165" s="34" t="s">
        <v>1492</v>
      </c>
      <c r="F165" s="34" t="s">
        <v>1513</v>
      </c>
      <c r="G165" s="34" t="s">
        <v>1516</v>
      </c>
      <c r="H165" s="34" t="s">
        <v>1372</v>
      </c>
      <c r="I165" s="34" t="s">
        <v>1070</v>
      </c>
      <c r="J165" s="47" t="s">
        <v>34</v>
      </c>
      <c r="K165" s="34" t="s">
        <v>820</v>
      </c>
      <c r="L165" s="156"/>
      <c r="M165" s="151"/>
      <c r="N165" s="151"/>
      <c r="O165" s="151"/>
      <c r="P165" s="151"/>
      <c r="Q165" s="151"/>
      <c r="R165" s="1"/>
      <c r="T165" s="1"/>
      <c r="U165" s="1"/>
      <c r="V165" s="1"/>
      <c r="W165" s="1"/>
    </row>
    <row r="166" spans="1:23" ht="15" customHeight="1">
      <c r="A166" s="34" t="s">
        <v>1510</v>
      </c>
      <c r="B166" s="40" t="s">
        <v>13</v>
      </c>
      <c r="C166" s="34" t="s">
        <v>180</v>
      </c>
      <c r="D166" s="34" t="s">
        <v>1512</v>
      </c>
      <c r="E166" s="34" t="s">
        <v>1492</v>
      </c>
      <c r="F166" s="34" t="s">
        <v>685</v>
      </c>
      <c r="G166" s="34" t="s">
        <v>1515</v>
      </c>
      <c r="H166" s="34" t="s">
        <v>1372</v>
      </c>
      <c r="I166" s="34" t="s">
        <v>1070</v>
      </c>
      <c r="J166" s="47" t="s">
        <v>34</v>
      </c>
      <c r="K166" s="34" t="s">
        <v>820</v>
      </c>
      <c r="L166" s="156"/>
      <c r="M166" s="151"/>
      <c r="N166" s="151"/>
      <c r="O166" s="151"/>
      <c r="P166" s="151"/>
      <c r="Q166" s="151"/>
      <c r="R166" s="1"/>
      <c r="T166" s="1"/>
      <c r="U166" s="1"/>
      <c r="V166" s="1"/>
      <c r="W166" s="1"/>
    </row>
    <row r="167" spans="1:23" ht="15" customHeight="1">
      <c r="A167" s="34" t="s">
        <v>1509</v>
      </c>
      <c r="B167" s="40" t="s">
        <v>13</v>
      </c>
      <c r="C167" s="34" t="s">
        <v>180</v>
      </c>
      <c r="D167" s="34" t="s">
        <v>1512</v>
      </c>
      <c r="E167" s="34" t="s">
        <v>1492</v>
      </c>
      <c r="F167" s="34" t="s">
        <v>1513</v>
      </c>
      <c r="G167" s="34" t="s">
        <v>1514</v>
      </c>
      <c r="H167" s="34" t="s">
        <v>1372</v>
      </c>
      <c r="I167" s="34" t="s">
        <v>1070</v>
      </c>
      <c r="J167" s="47" t="s">
        <v>34</v>
      </c>
      <c r="K167" s="34" t="s">
        <v>820</v>
      </c>
      <c r="L167" s="156"/>
      <c r="M167" s="151"/>
      <c r="N167" s="151"/>
      <c r="O167" s="151"/>
      <c r="P167" s="151"/>
      <c r="Q167" s="151"/>
      <c r="R167" s="1"/>
      <c r="T167" s="1"/>
      <c r="U167" s="1"/>
      <c r="V167" s="1"/>
      <c r="W167" s="1"/>
    </row>
    <row r="168" spans="1:23" ht="15" customHeight="1">
      <c r="A168" s="34" t="s">
        <v>1508</v>
      </c>
      <c r="B168" s="34">
        <v>1323</v>
      </c>
      <c r="C168" s="34" t="s">
        <v>1504</v>
      </c>
      <c r="D168" s="34" t="s">
        <v>1505</v>
      </c>
      <c r="E168" s="34" t="s">
        <v>1506</v>
      </c>
      <c r="F168" s="34" t="s">
        <v>1507</v>
      </c>
      <c r="G168" s="34" t="s">
        <v>1282</v>
      </c>
      <c r="H168" s="34" t="s">
        <v>1372</v>
      </c>
      <c r="I168" s="34" t="s">
        <v>40</v>
      </c>
      <c r="J168" s="47" t="s">
        <v>34</v>
      </c>
      <c r="K168" s="34" t="s">
        <v>1299</v>
      </c>
      <c r="L168" s="156"/>
      <c r="M168" s="151"/>
      <c r="N168" s="151"/>
      <c r="O168" s="151"/>
      <c r="P168" s="151"/>
      <c r="Q168" s="151"/>
      <c r="R168" s="1"/>
      <c r="T168" s="1"/>
      <c r="U168" s="1"/>
      <c r="V168" s="1"/>
      <c r="W168" s="1"/>
    </row>
    <row r="169" spans="1:23" ht="15" customHeight="1">
      <c r="A169" s="34" t="s">
        <v>1500</v>
      </c>
      <c r="B169" s="34">
        <v>1322</v>
      </c>
      <c r="C169" s="34" t="s">
        <v>1501</v>
      </c>
      <c r="D169" s="34" t="s">
        <v>1497</v>
      </c>
      <c r="E169" s="34" t="s">
        <v>25</v>
      </c>
      <c r="F169" s="34" t="s">
        <v>1226</v>
      </c>
      <c r="G169" s="34" t="s">
        <v>1502</v>
      </c>
      <c r="H169" s="34" t="s">
        <v>1372</v>
      </c>
      <c r="I169" s="34" t="s">
        <v>1503</v>
      </c>
      <c r="J169" s="47" t="s">
        <v>34</v>
      </c>
      <c r="K169" s="34" t="s">
        <v>820</v>
      </c>
      <c r="L169" s="156"/>
      <c r="M169" s="151"/>
      <c r="N169" s="151"/>
      <c r="O169" s="151"/>
      <c r="P169" s="151"/>
      <c r="Q169" s="151"/>
      <c r="R169" s="1"/>
      <c r="T169" s="1"/>
      <c r="U169" s="1"/>
      <c r="V169" s="1"/>
      <c r="W169" s="1"/>
    </row>
    <row r="170" spans="1:23" ht="15" customHeight="1">
      <c r="A170" s="34" t="s">
        <v>1495</v>
      </c>
      <c r="B170" s="34">
        <v>1321</v>
      </c>
      <c r="C170" s="34" t="s">
        <v>1496</v>
      </c>
      <c r="D170" s="34" t="s">
        <v>1497</v>
      </c>
      <c r="E170" s="34" t="s">
        <v>25</v>
      </c>
      <c r="F170" s="34" t="s">
        <v>1498</v>
      </c>
      <c r="G170" s="34" t="s">
        <v>1282</v>
      </c>
      <c r="H170" s="34" t="s">
        <v>1372</v>
      </c>
      <c r="I170" s="34" t="s">
        <v>1499</v>
      </c>
      <c r="J170" s="69" t="s">
        <v>50</v>
      </c>
      <c r="K170" s="34" t="s">
        <v>51</v>
      </c>
      <c r="L170" s="156"/>
      <c r="M170" s="151"/>
      <c r="N170" s="151"/>
      <c r="O170" s="151"/>
      <c r="P170" s="151"/>
      <c r="Q170" s="151"/>
      <c r="R170" s="1"/>
      <c r="T170" s="1"/>
      <c r="U170" s="1"/>
      <c r="V170" s="1"/>
      <c r="W170" s="1"/>
    </row>
    <row r="171" spans="1:23" ht="15" customHeight="1">
      <c r="A171" s="34">
        <v>962</v>
      </c>
      <c r="B171" s="34">
        <v>1319</v>
      </c>
      <c r="C171" s="34" t="s">
        <v>1491</v>
      </c>
      <c r="D171" s="41">
        <v>45890</v>
      </c>
      <c r="E171" s="34" t="s">
        <v>1492</v>
      </c>
      <c r="F171" s="34" t="s">
        <v>169</v>
      </c>
      <c r="G171" s="34" t="s">
        <v>1493</v>
      </c>
      <c r="H171" s="34" t="s">
        <v>1372</v>
      </c>
      <c r="I171" s="34" t="s">
        <v>1494</v>
      </c>
      <c r="J171" s="47" t="s">
        <v>34</v>
      </c>
      <c r="K171" s="34" t="s">
        <v>820</v>
      </c>
      <c r="L171" s="156"/>
      <c r="M171" s="151"/>
      <c r="N171" s="151"/>
      <c r="O171" s="151"/>
      <c r="P171" s="151"/>
      <c r="Q171" s="151"/>
      <c r="R171" s="1"/>
      <c r="T171" s="1"/>
      <c r="U171" s="1"/>
      <c r="V171" s="1"/>
      <c r="W171" s="1"/>
    </row>
    <row r="172" spans="1:23" ht="15" customHeight="1">
      <c r="A172" s="34">
        <v>961</v>
      </c>
      <c r="B172" s="34">
        <v>1320</v>
      </c>
      <c r="C172" s="34" t="s">
        <v>1487</v>
      </c>
      <c r="D172" s="34" t="s">
        <v>1488</v>
      </c>
      <c r="E172" s="34" t="s">
        <v>585</v>
      </c>
      <c r="F172" s="34" t="s">
        <v>1489</v>
      </c>
      <c r="G172" s="34" t="s">
        <v>1490</v>
      </c>
      <c r="H172" s="34" t="s">
        <v>1372</v>
      </c>
      <c r="I172" s="34" t="s">
        <v>910</v>
      </c>
      <c r="J172" s="47" t="s">
        <v>34</v>
      </c>
      <c r="K172" s="34" t="s">
        <v>820</v>
      </c>
      <c r="L172" s="156"/>
      <c r="M172" s="151"/>
      <c r="N172" s="151"/>
      <c r="O172" s="151"/>
      <c r="P172" s="151"/>
      <c r="Q172" s="151"/>
      <c r="R172" s="1"/>
      <c r="T172" s="1"/>
      <c r="U172" s="1"/>
      <c r="V172" s="1"/>
      <c r="W172" s="1"/>
    </row>
    <row r="173" spans="1:23" ht="15" customHeight="1">
      <c r="A173" s="34">
        <v>960</v>
      </c>
      <c r="B173" s="34">
        <v>1316</v>
      </c>
      <c r="C173" s="34" t="s">
        <v>1217</v>
      </c>
      <c r="D173" s="34" t="s">
        <v>1479</v>
      </c>
      <c r="E173" s="34" t="s">
        <v>19</v>
      </c>
      <c r="F173" s="34" t="s">
        <v>1483</v>
      </c>
      <c r="G173" s="34" t="s">
        <v>1484</v>
      </c>
      <c r="H173" s="34" t="s">
        <v>1372</v>
      </c>
      <c r="I173" s="34" t="s">
        <v>1485</v>
      </c>
      <c r="J173" s="47" t="s">
        <v>34</v>
      </c>
      <c r="K173" s="34" t="s">
        <v>820</v>
      </c>
      <c r="L173" s="156"/>
      <c r="M173" s="151"/>
      <c r="N173" s="151"/>
      <c r="O173" s="151"/>
      <c r="P173" s="151"/>
      <c r="Q173" s="151"/>
      <c r="R173" s="1"/>
      <c r="T173" s="1"/>
      <c r="U173" s="1"/>
      <c r="V173" s="1"/>
      <c r="W173" s="1"/>
    </row>
    <row r="174" spans="1:23" ht="15" customHeight="1">
      <c r="A174" s="34" t="s">
        <v>1477</v>
      </c>
      <c r="B174" s="34">
        <v>1315</v>
      </c>
      <c r="C174" s="34" t="s">
        <v>1478</v>
      </c>
      <c r="D174" s="34" t="s">
        <v>1479</v>
      </c>
      <c r="E174" s="34" t="s">
        <v>19</v>
      </c>
      <c r="F174" s="34" t="s">
        <v>123</v>
      </c>
      <c r="G174" s="34" t="s">
        <v>1486</v>
      </c>
      <c r="H174" s="34" t="s">
        <v>1482</v>
      </c>
      <c r="I174" s="34" t="s">
        <v>1464</v>
      </c>
      <c r="J174" s="47" t="s">
        <v>34</v>
      </c>
      <c r="K174" s="34" t="s">
        <v>820</v>
      </c>
      <c r="L174" s="156"/>
      <c r="M174" s="151"/>
      <c r="N174" s="151"/>
      <c r="O174" s="151"/>
      <c r="P174" s="151"/>
      <c r="Q174" s="151"/>
      <c r="R174" s="1"/>
      <c r="T174" s="1"/>
      <c r="U174" s="1"/>
      <c r="V174" s="1"/>
      <c r="W174" s="1"/>
    </row>
    <row r="175" spans="1:23" ht="15" customHeight="1">
      <c r="A175" s="34" t="s">
        <v>1476</v>
      </c>
      <c r="B175" s="34">
        <v>1314</v>
      </c>
      <c r="C175" s="34" t="s">
        <v>1478</v>
      </c>
      <c r="D175" s="34" t="s">
        <v>1479</v>
      </c>
      <c r="E175" s="34" t="s">
        <v>19</v>
      </c>
      <c r="F175" s="34" t="s">
        <v>373</v>
      </c>
      <c r="G175" s="34" t="s">
        <v>1481</v>
      </c>
      <c r="H175" s="34" t="s">
        <v>1482</v>
      </c>
      <c r="I175" s="34" t="s">
        <v>1464</v>
      </c>
      <c r="J175" s="47" t="s">
        <v>34</v>
      </c>
      <c r="K175" s="34" t="s">
        <v>820</v>
      </c>
      <c r="L175" s="156"/>
      <c r="M175" s="151"/>
      <c r="N175" s="151"/>
      <c r="O175" s="151"/>
      <c r="P175" s="151"/>
      <c r="Q175" s="151"/>
      <c r="R175" s="1"/>
      <c r="T175" s="1"/>
      <c r="U175" s="1"/>
      <c r="V175" s="1"/>
      <c r="W175" s="1"/>
    </row>
    <row r="176" spans="1:23" ht="15" customHeight="1">
      <c r="A176" s="34" t="s">
        <v>1475</v>
      </c>
      <c r="B176" s="34">
        <v>1313</v>
      </c>
      <c r="C176" s="34" t="s">
        <v>1478</v>
      </c>
      <c r="D176" s="34" t="s">
        <v>1479</v>
      </c>
      <c r="E176" s="34" t="s">
        <v>19</v>
      </c>
      <c r="F176" s="34" t="s">
        <v>373</v>
      </c>
      <c r="G176" s="34" t="s">
        <v>1480</v>
      </c>
      <c r="H176" s="34" t="s">
        <v>1482</v>
      </c>
      <c r="I176" s="34" t="s">
        <v>1464</v>
      </c>
      <c r="J176" s="47" t="s">
        <v>34</v>
      </c>
      <c r="K176" s="34" t="s">
        <v>820</v>
      </c>
      <c r="L176" s="156"/>
      <c r="M176" s="151"/>
      <c r="N176" s="151"/>
      <c r="O176" s="151"/>
      <c r="P176" s="151"/>
      <c r="Q176" s="151"/>
      <c r="R176" s="1"/>
      <c r="T176" s="1"/>
      <c r="U176" s="1"/>
      <c r="V176" s="1"/>
      <c r="W176" s="1"/>
    </row>
    <row r="177" spans="1:23" ht="15" customHeight="1">
      <c r="A177" s="34">
        <v>958</v>
      </c>
      <c r="B177" s="34"/>
      <c r="C177" s="34" t="s">
        <v>1388</v>
      </c>
      <c r="D177" s="41">
        <v>45883</v>
      </c>
      <c r="E177" s="34" t="s">
        <v>25</v>
      </c>
      <c r="F177" s="34" t="s">
        <v>1389</v>
      </c>
      <c r="G177" s="34" t="s">
        <v>547</v>
      </c>
      <c r="H177" s="34" t="s">
        <v>1474</v>
      </c>
      <c r="I177" s="34" t="s">
        <v>1473</v>
      </c>
      <c r="J177" s="47" t="s">
        <v>34</v>
      </c>
      <c r="K177" s="34" t="s">
        <v>820</v>
      </c>
      <c r="L177" s="156"/>
      <c r="M177" s="151"/>
      <c r="N177" s="151"/>
      <c r="O177" s="151"/>
      <c r="P177" s="151"/>
      <c r="Q177" s="151"/>
      <c r="R177" s="1"/>
      <c r="T177" s="1"/>
      <c r="U177" s="1"/>
      <c r="V177" s="1"/>
      <c r="W177" s="1"/>
    </row>
    <row r="178" spans="1:23" ht="15" customHeight="1">
      <c r="A178" s="34">
        <v>957</v>
      </c>
      <c r="B178" s="34">
        <v>1317</v>
      </c>
      <c r="C178" s="34" t="s">
        <v>1469</v>
      </c>
      <c r="D178" s="41">
        <v>45883</v>
      </c>
      <c r="E178" s="34"/>
      <c r="F178" s="34" t="s">
        <v>1470</v>
      </c>
      <c r="G178" s="34" t="s">
        <v>1471</v>
      </c>
      <c r="H178" s="34" t="s">
        <v>1372</v>
      </c>
      <c r="I178" s="34"/>
      <c r="J178" s="47" t="s">
        <v>34</v>
      </c>
      <c r="K178" s="34" t="s">
        <v>820</v>
      </c>
      <c r="L178" s="156"/>
      <c r="M178" s="151"/>
      <c r="N178" s="151"/>
      <c r="O178" s="151"/>
      <c r="P178" s="151"/>
      <c r="Q178" s="151"/>
      <c r="R178" s="1"/>
      <c r="T178" s="1"/>
      <c r="U178" s="1"/>
      <c r="V178" s="1"/>
      <c r="W178" s="1"/>
    </row>
    <row r="179" spans="1:23" ht="15" customHeight="1">
      <c r="A179" s="34">
        <v>956</v>
      </c>
      <c r="B179" s="34">
        <v>1312</v>
      </c>
      <c r="C179" s="34" t="s">
        <v>1465</v>
      </c>
      <c r="D179" s="34" t="s">
        <v>1408</v>
      </c>
      <c r="E179" s="34" t="s">
        <v>25</v>
      </c>
      <c r="F179" s="34" t="s">
        <v>260</v>
      </c>
      <c r="G179" s="34" t="s">
        <v>1466</v>
      </c>
      <c r="H179" s="34" t="s">
        <v>1467</v>
      </c>
      <c r="I179" s="34" t="s">
        <v>1468</v>
      </c>
      <c r="J179" s="47" t="s">
        <v>34</v>
      </c>
      <c r="K179" s="34" t="s">
        <v>820</v>
      </c>
      <c r="L179" s="156"/>
      <c r="M179" s="151"/>
      <c r="N179" s="151"/>
      <c r="O179" s="151"/>
      <c r="P179" s="151"/>
      <c r="Q179" s="151"/>
      <c r="R179" s="1"/>
      <c r="T179" s="1"/>
      <c r="U179" s="1"/>
      <c r="V179" s="1"/>
      <c r="W179" s="1"/>
    </row>
    <row r="180" spans="1:23" ht="15" customHeight="1">
      <c r="A180" s="34" t="s">
        <v>1449</v>
      </c>
      <c r="B180" s="34">
        <v>1305</v>
      </c>
      <c r="C180" s="34" t="s">
        <v>566</v>
      </c>
      <c r="D180" s="41">
        <v>45880</v>
      </c>
      <c r="E180" s="34" t="s">
        <v>19</v>
      </c>
      <c r="F180" s="34" t="s">
        <v>123</v>
      </c>
      <c r="G180" s="34" t="s">
        <v>1430</v>
      </c>
      <c r="H180" s="34" t="s">
        <v>1372</v>
      </c>
      <c r="I180" s="34" t="s">
        <v>1464</v>
      </c>
      <c r="J180" s="47" t="s">
        <v>34</v>
      </c>
      <c r="K180" s="34" t="s">
        <v>820</v>
      </c>
      <c r="L180" s="156"/>
      <c r="M180" s="151"/>
      <c r="N180" s="151"/>
      <c r="O180" s="151"/>
      <c r="P180" s="151"/>
      <c r="Q180" s="151"/>
      <c r="R180" s="1"/>
      <c r="T180" s="1"/>
      <c r="U180" s="1"/>
      <c r="V180" s="1"/>
      <c r="W180" s="1"/>
    </row>
    <row r="181" spans="1:23" ht="15" customHeight="1">
      <c r="A181" s="34" t="s">
        <v>1450</v>
      </c>
      <c r="B181" s="34">
        <v>1304</v>
      </c>
      <c r="C181" s="34" t="s">
        <v>566</v>
      </c>
      <c r="D181" s="41">
        <v>45880</v>
      </c>
      <c r="E181" s="34" t="s">
        <v>19</v>
      </c>
      <c r="F181" s="34" t="s">
        <v>123</v>
      </c>
      <c r="G181" s="34" t="s">
        <v>1429</v>
      </c>
      <c r="H181" s="34" t="s">
        <v>1372</v>
      </c>
      <c r="I181" s="34" t="s">
        <v>1464</v>
      </c>
      <c r="J181" s="47" t="s">
        <v>34</v>
      </c>
      <c r="K181" s="34" t="s">
        <v>820</v>
      </c>
      <c r="L181" s="156"/>
      <c r="M181" s="151"/>
      <c r="N181" s="151"/>
      <c r="O181" s="151"/>
      <c r="P181" s="151"/>
      <c r="Q181" s="151"/>
      <c r="R181" s="1"/>
      <c r="T181" s="1"/>
      <c r="U181" s="1"/>
      <c r="V181" s="1"/>
      <c r="W181" s="1"/>
    </row>
    <row r="182" spans="1:23" ht="15" customHeight="1">
      <c r="A182" s="34" t="s">
        <v>1447</v>
      </c>
      <c r="B182" s="34">
        <v>1303</v>
      </c>
      <c r="C182" s="34" t="s">
        <v>566</v>
      </c>
      <c r="D182" s="41">
        <v>45880</v>
      </c>
      <c r="E182" s="34" t="s">
        <v>19</v>
      </c>
      <c r="F182" s="34" t="s">
        <v>123</v>
      </c>
      <c r="G182" s="34" t="s">
        <v>1428</v>
      </c>
      <c r="H182" s="34" t="s">
        <v>1372</v>
      </c>
      <c r="I182" s="34" t="s">
        <v>1464</v>
      </c>
      <c r="J182" s="47" t="s">
        <v>34</v>
      </c>
      <c r="K182" s="34" t="s">
        <v>820</v>
      </c>
      <c r="L182" s="156"/>
      <c r="M182" s="151"/>
      <c r="N182" s="151"/>
      <c r="O182" s="151"/>
      <c r="P182" s="151"/>
      <c r="Q182" s="151"/>
      <c r="R182" s="1"/>
      <c r="T182" s="1"/>
      <c r="U182" s="1"/>
      <c r="V182" s="1"/>
      <c r="W182" s="1"/>
    </row>
    <row r="183" spans="1:23" ht="15" customHeight="1">
      <c r="A183" s="34" t="s">
        <v>1448</v>
      </c>
      <c r="B183" s="34">
        <v>1302</v>
      </c>
      <c r="C183" s="34" t="s">
        <v>566</v>
      </c>
      <c r="D183" s="41">
        <v>45880</v>
      </c>
      <c r="E183" s="34" t="s">
        <v>19</v>
      </c>
      <c r="F183" s="34" t="s">
        <v>123</v>
      </c>
      <c r="G183" s="34" t="s">
        <v>1427</v>
      </c>
      <c r="H183" s="34" t="s">
        <v>1372</v>
      </c>
      <c r="I183" s="34" t="s">
        <v>1464</v>
      </c>
      <c r="J183" s="47" t="s">
        <v>34</v>
      </c>
      <c r="K183" s="34" t="s">
        <v>820</v>
      </c>
      <c r="L183" s="156"/>
      <c r="M183" s="151"/>
      <c r="N183" s="151"/>
      <c r="O183" s="151"/>
      <c r="P183" s="151"/>
      <c r="Q183" s="151"/>
      <c r="R183" s="1"/>
      <c r="T183" s="1"/>
      <c r="U183" s="1"/>
      <c r="V183" s="1"/>
      <c r="W183" s="1"/>
    </row>
    <row r="184" spans="1:23" ht="15" customHeight="1">
      <c r="A184" s="34" t="s">
        <v>1442</v>
      </c>
      <c r="B184" s="34">
        <v>1301</v>
      </c>
      <c r="C184" s="34" t="s">
        <v>566</v>
      </c>
      <c r="D184" s="41">
        <v>45880</v>
      </c>
      <c r="E184" s="34" t="s">
        <v>19</v>
      </c>
      <c r="F184" s="34" t="s">
        <v>123</v>
      </c>
      <c r="G184" s="34" t="s">
        <v>1426</v>
      </c>
      <c r="H184" s="34" t="s">
        <v>1372</v>
      </c>
      <c r="I184" s="34" t="s">
        <v>1464</v>
      </c>
      <c r="J184" s="47" t="s">
        <v>34</v>
      </c>
      <c r="K184" s="34" t="s">
        <v>820</v>
      </c>
      <c r="L184" s="156"/>
      <c r="M184" s="151"/>
      <c r="N184" s="151"/>
      <c r="O184" s="151"/>
      <c r="P184" s="151"/>
      <c r="Q184" s="151"/>
      <c r="R184" s="1"/>
      <c r="T184" s="1"/>
      <c r="U184" s="1"/>
      <c r="V184" s="1"/>
      <c r="W184" s="1"/>
    </row>
    <row r="185" spans="1:23" ht="15" customHeight="1">
      <c r="A185" s="34" t="s">
        <v>1443</v>
      </c>
      <c r="B185" s="34">
        <v>1300</v>
      </c>
      <c r="C185" s="34" t="s">
        <v>566</v>
      </c>
      <c r="D185" s="41">
        <v>45880</v>
      </c>
      <c r="E185" s="34" t="s">
        <v>19</v>
      </c>
      <c r="F185" s="34" t="s">
        <v>123</v>
      </c>
      <c r="G185" s="34" t="s">
        <v>1425</v>
      </c>
      <c r="H185" s="34" t="s">
        <v>1372</v>
      </c>
      <c r="I185" s="34" t="s">
        <v>1464</v>
      </c>
      <c r="J185" s="47" t="s">
        <v>34</v>
      </c>
      <c r="K185" s="34" t="s">
        <v>820</v>
      </c>
      <c r="L185" s="156"/>
      <c r="M185" s="151"/>
      <c r="N185" s="151"/>
      <c r="O185" s="151"/>
      <c r="P185" s="151"/>
      <c r="Q185" s="151"/>
      <c r="R185" s="1"/>
      <c r="T185" s="1"/>
      <c r="U185" s="1"/>
      <c r="V185" s="1"/>
      <c r="W185" s="1"/>
    </row>
    <row r="186" spans="1:23" ht="15" customHeight="1">
      <c r="A186" s="34" t="s">
        <v>1444</v>
      </c>
      <c r="B186" s="34">
        <v>1311</v>
      </c>
      <c r="C186" s="34" t="s">
        <v>566</v>
      </c>
      <c r="D186" s="41">
        <v>45880</v>
      </c>
      <c r="E186" s="34" t="s">
        <v>19</v>
      </c>
      <c r="F186" s="34" t="s">
        <v>1451</v>
      </c>
      <c r="G186" s="34" t="s">
        <v>1457</v>
      </c>
      <c r="H186" s="34" t="s">
        <v>1372</v>
      </c>
      <c r="I186" s="34" t="s">
        <v>1463</v>
      </c>
      <c r="J186" s="47" t="s">
        <v>34</v>
      </c>
      <c r="K186" s="34" t="s">
        <v>820</v>
      </c>
      <c r="L186" s="156"/>
      <c r="M186" s="151"/>
      <c r="N186" s="151"/>
      <c r="O186" s="151"/>
      <c r="P186" s="151"/>
      <c r="Q186" s="151"/>
      <c r="R186" s="1"/>
      <c r="T186" s="1"/>
      <c r="U186" s="1"/>
      <c r="V186" s="1"/>
      <c r="W186" s="1"/>
    </row>
    <row r="187" spans="1:23" ht="15" customHeight="1">
      <c r="A187" s="34" t="s">
        <v>1445</v>
      </c>
      <c r="B187" s="34">
        <v>1310</v>
      </c>
      <c r="C187" s="34" t="s">
        <v>566</v>
      </c>
      <c r="D187" s="41">
        <v>45880</v>
      </c>
      <c r="E187" s="34" t="s">
        <v>19</v>
      </c>
      <c r="F187" s="34" t="s">
        <v>1451</v>
      </c>
      <c r="G187" s="34" t="s">
        <v>1456</v>
      </c>
      <c r="H187" s="34" t="s">
        <v>1372</v>
      </c>
      <c r="I187" s="34" t="s">
        <v>1462</v>
      </c>
      <c r="J187" s="47" t="s">
        <v>34</v>
      </c>
      <c r="K187" s="34" t="s">
        <v>820</v>
      </c>
      <c r="L187" s="156"/>
      <c r="M187" s="151"/>
      <c r="N187" s="151"/>
      <c r="O187" s="151"/>
      <c r="P187" s="151"/>
      <c r="Q187" s="151"/>
      <c r="R187" s="1"/>
      <c r="T187" s="1"/>
      <c r="U187" s="1"/>
      <c r="V187" s="1"/>
      <c r="W187" s="1"/>
    </row>
    <row r="188" spans="1:23" ht="15" customHeight="1">
      <c r="A188" s="34" t="s">
        <v>1446</v>
      </c>
      <c r="B188" s="34">
        <v>1309</v>
      </c>
      <c r="C188" s="34" t="s">
        <v>566</v>
      </c>
      <c r="D188" s="41">
        <v>45880</v>
      </c>
      <c r="E188" s="34" t="s">
        <v>19</v>
      </c>
      <c r="F188" s="34" t="s">
        <v>1451</v>
      </c>
      <c r="G188" s="34" t="s">
        <v>1455</v>
      </c>
      <c r="H188" s="34" t="s">
        <v>1372</v>
      </c>
      <c r="I188" s="34" t="s">
        <v>1461</v>
      </c>
      <c r="J188" s="47" t="s">
        <v>34</v>
      </c>
      <c r="K188" s="34" t="s">
        <v>820</v>
      </c>
      <c r="L188" s="156"/>
      <c r="M188" s="151"/>
      <c r="N188" s="151"/>
      <c r="O188" s="151"/>
      <c r="P188" s="151"/>
      <c r="Q188" s="151"/>
      <c r="R188" s="1"/>
      <c r="T188" s="1"/>
      <c r="U188" s="1"/>
      <c r="V188" s="1"/>
      <c r="W188" s="1"/>
    </row>
    <row r="189" spans="1:23" ht="15" customHeight="1">
      <c r="A189" s="34" t="s">
        <v>1441</v>
      </c>
      <c r="B189" s="34">
        <v>1308</v>
      </c>
      <c r="C189" s="34" t="s">
        <v>566</v>
      </c>
      <c r="D189" s="41">
        <v>45880</v>
      </c>
      <c r="E189" s="34" t="s">
        <v>19</v>
      </c>
      <c r="F189" s="34" t="s">
        <v>1451</v>
      </c>
      <c r="G189" s="34" t="s">
        <v>1454</v>
      </c>
      <c r="H189" s="34" t="s">
        <v>1372</v>
      </c>
      <c r="I189" s="34" t="s">
        <v>1460</v>
      </c>
      <c r="J189" s="47" t="s">
        <v>34</v>
      </c>
      <c r="K189" s="34" t="s">
        <v>820</v>
      </c>
      <c r="L189" s="156"/>
      <c r="M189" s="151"/>
      <c r="N189" s="151"/>
      <c r="O189" s="151"/>
      <c r="P189" s="151"/>
      <c r="Q189" s="151"/>
      <c r="R189" s="1"/>
      <c r="T189" s="1"/>
      <c r="U189" s="1"/>
      <c r="V189" s="1"/>
      <c r="W189" s="1"/>
    </row>
    <row r="190" spans="1:23" ht="15" customHeight="1">
      <c r="A190" s="34" t="s">
        <v>1440</v>
      </c>
      <c r="B190" s="34">
        <v>1307</v>
      </c>
      <c r="C190" s="34" t="s">
        <v>566</v>
      </c>
      <c r="D190" s="41">
        <v>45880</v>
      </c>
      <c r="E190" s="34" t="s">
        <v>19</v>
      </c>
      <c r="F190" s="34" t="s">
        <v>1451</v>
      </c>
      <c r="G190" s="34" t="s">
        <v>1453</v>
      </c>
      <c r="H190" s="34" t="s">
        <v>1372</v>
      </c>
      <c r="I190" s="34" t="s">
        <v>1459</v>
      </c>
      <c r="J190" s="47" t="s">
        <v>34</v>
      </c>
      <c r="K190" s="34" t="s">
        <v>820</v>
      </c>
      <c r="L190" s="156"/>
      <c r="M190" s="151"/>
      <c r="N190" s="151"/>
      <c r="O190" s="151"/>
      <c r="P190" s="151"/>
      <c r="Q190" s="151"/>
      <c r="R190" s="1"/>
      <c r="T190" s="1"/>
      <c r="U190" s="1"/>
      <c r="V190" s="1"/>
      <c r="W190" s="1"/>
    </row>
    <row r="191" spans="1:23" ht="15" customHeight="1">
      <c r="A191" s="34" t="s">
        <v>1439</v>
      </c>
      <c r="B191" s="34">
        <v>1306</v>
      </c>
      <c r="C191" s="34" t="s">
        <v>566</v>
      </c>
      <c r="D191" s="41">
        <v>45880</v>
      </c>
      <c r="E191" s="34" t="s">
        <v>19</v>
      </c>
      <c r="F191" s="34" t="s">
        <v>1451</v>
      </c>
      <c r="G191" s="34" t="s">
        <v>1452</v>
      </c>
      <c r="H191" s="34" t="s">
        <v>1372</v>
      </c>
      <c r="I191" s="34" t="s">
        <v>1458</v>
      </c>
      <c r="J191" s="47" t="s">
        <v>34</v>
      </c>
      <c r="K191" s="34" t="s">
        <v>820</v>
      </c>
      <c r="L191" s="156"/>
      <c r="M191" s="151"/>
      <c r="N191" s="151"/>
      <c r="O191" s="151"/>
      <c r="P191" s="151"/>
      <c r="Q191" s="151"/>
      <c r="R191" s="1"/>
      <c r="T191" s="1"/>
      <c r="U191" s="1"/>
      <c r="V191" s="1"/>
      <c r="W191" s="1"/>
    </row>
    <row r="192" spans="1:23" ht="15" customHeight="1">
      <c r="A192" s="34">
        <v>954</v>
      </c>
      <c r="B192" s="34">
        <v>1299</v>
      </c>
      <c r="C192" s="34" t="s">
        <v>1435</v>
      </c>
      <c r="D192" s="41">
        <v>45880</v>
      </c>
      <c r="E192" s="34" t="s">
        <v>638</v>
      </c>
      <c r="F192" s="34" t="s">
        <v>1437</v>
      </c>
      <c r="G192" s="34" t="s">
        <v>1436</v>
      </c>
      <c r="H192" s="34" t="s">
        <v>1438</v>
      </c>
      <c r="I192" s="34" t="s">
        <v>1182</v>
      </c>
      <c r="J192" s="47" t="s">
        <v>34</v>
      </c>
      <c r="K192" s="34" t="s">
        <v>820</v>
      </c>
      <c r="L192" s="156"/>
      <c r="M192" s="151"/>
      <c r="N192" s="151"/>
      <c r="O192" s="151"/>
      <c r="P192" s="151"/>
      <c r="Q192" s="151"/>
      <c r="R192" s="1"/>
      <c r="T192" s="1"/>
      <c r="U192" s="1"/>
      <c r="V192" s="1"/>
      <c r="W192" s="1"/>
    </row>
    <row r="193" spans="1:23" ht="15" customHeight="1">
      <c r="A193" s="34">
        <v>953</v>
      </c>
      <c r="B193" s="34">
        <v>1298</v>
      </c>
      <c r="C193" s="34" t="s">
        <v>1431</v>
      </c>
      <c r="D193" s="41">
        <v>45877</v>
      </c>
      <c r="E193" s="34" t="s">
        <v>25</v>
      </c>
      <c r="F193" s="34" t="s">
        <v>1432</v>
      </c>
      <c r="G193" s="34" t="s">
        <v>1433</v>
      </c>
      <c r="H193" s="34" t="s">
        <v>1422</v>
      </c>
      <c r="I193" s="34" t="s">
        <v>1434</v>
      </c>
      <c r="J193" s="47" t="s">
        <v>34</v>
      </c>
      <c r="K193" s="34" t="s">
        <v>820</v>
      </c>
      <c r="L193" s="156"/>
      <c r="M193" s="151"/>
      <c r="N193" s="151"/>
      <c r="O193" s="151"/>
      <c r="P193" s="151"/>
      <c r="Q193" s="151"/>
      <c r="R193" s="1"/>
      <c r="T193" s="1"/>
      <c r="U193" s="1"/>
      <c r="V193" s="1"/>
      <c r="W193" s="1"/>
    </row>
    <row r="194" spans="1:23" ht="15" customHeight="1">
      <c r="A194" s="34" t="s">
        <v>1413</v>
      </c>
      <c r="B194" s="34">
        <v>1295</v>
      </c>
      <c r="C194" s="34" t="s">
        <v>1416</v>
      </c>
      <c r="D194" s="34" t="s">
        <v>1408</v>
      </c>
      <c r="E194" s="34" t="s">
        <v>25</v>
      </c>
      <c r="F194" s="34" t="s">
        <v>1334</v>
      </c>
      <c r="G194" s="34" t="s">
        <v>1420</v>
      </c>
      <c r="H194" s="34" t="s">
        <v>1422</v>
      </c>
      <c r="I194" s="34" t="s">
        <v>1423</v>
      </c>
      <c r="J194" s="47" t="s">
        <v>34</v>
      </c>
      <c r="K194" s="34" t="s">
        <v>820</v>
      </c>
      <c r="L194" s="156"/>
      <c r="M194" s="151"/>
      <c r="N194" s="151"/>
      <c r="O194" s="151"/>
      <c r="P194" s="151"/>
      <c r="Q194" s="151"/>
      <c r="R194" s="1"/>
      <c r="T194" s="1"/>
      <c r="U194" s="1"/>
      <c r="V194" s="1"/>
      <c r="W194" s="1"/>
    </row>
    <row r="195" spans="1:23" ht="15" customHeight="1">
      <c r="A195" s="34" t="s">
        <v>1414</v>
      </c>
      <c r="B195" s="34">
        <v>1297</v>
      </c>
      <c r="C195" s="34" t="s">
        <v>1416</v>
      </c>
      <c r="D195" s="34" t="s">
        <v>1408</v>
      </c>
      <c r="E195" s="34" t="s">
        <v>25</v>
      </c>
      <c r="F195" s="34" t="s">
        <v>1417</v>
      </c>
      <c r="G195" s="34" t="s">
        <v>1419</v>
      </c>
      <c r="H195" s="34" t="s">
        <v>1422</v>
      </c>
      <c r="I195" s="34" t="s">
        <v>1424</v>
      </c>
      <c r="J195" s="47" t="s">
        <v>34</v>
      </c>
      <c r="K195" s="34" t="s">
        <v>820</v>
      </c>
      <c r="L195" s="156"/>
      <c r="M195" s="151"/>
      <c r="N195" s="151"/>
      <c r="O195" s="151"/>
      <c r="P195" s="151"/>
      <c r="Q195" s="151"/>
      <c r="R195" s="1"/>
      <c r="T195" s="1"/>
      <c r="U195" s="1"/>
      <c r="V195" s="1"/>
      <c r="W195" s="1"/>
    </row>
    <row r="196" spans="1:23" ht="15" customHeight="1">
      <c r="A196" s="34" t="s">
        <v>1415</v>
      </c>
      <c r="B196" s="34"/>
      <c r="C196" s="34" t="s">
        <v>1416</v>
      </c>
      <c r="D196" s="34" t="s">
        <v>1408</v>
      </c>
      <c r="E196" s="34" t="s">
        <v>25</v>
      </c>
      <c r="F196" s="34" t="s">
        <v>1418</v>
      </c>
      <c r="G196" s="34" t="s">
        <v>1421</v>
      </c>
      <c r="H196" s="34" t="s">
        <v>1422</v>
      </c>
      <c r="I196" s="34" t="s">
        <v>1406</v>
      </c>
      <c r="J196" s="47" t="s">
        <v>34</v>
      </c>
      <c r="K196" s="34" t="s">
        <v>820</v>
      </c>
      <c r="L196" s="156"/>
      <c r="M196" s="151"/>
      <c r="N196" s="151"/>
      <c r="O196" s="151"/>
      <c r="P196" s="151"/>
      <c r="Q196" s="151"/>
      <c r="R196" s="1"/>
      <c r="T196" s="1"/>
      <c r="U196" s="1"/>
      <c r="V196" s="1"/>
      <c r="W196" s="1"/>
    </row>
    <row r="197" spans="1:23" ht="15" customHeight="1">
      <c r="A197" s="34">
        <v>951</v>
      </c>
      <c r="B197" s="34"/>
      <c r="C197" s="34" t="s">
        <v>58</v>
      </c>
      <c r="D197" s="34" t="s">
        <v>1408</v>
      </c>
      <c r="E197" s="34" t="s">
        <v>25</v>
      </c>
      <c r="F197" s="34" t="s">
        <v>1409</v>
      </c>
      <c r="G197" s="34" t="s">
        <v>1410</v>
      </c>
      <c r="H197" s="34" t="s">
        <v>1411</v>
      </c>
      <c r="I197" s="34" t="s">
        <v>1412</v>
      </c>
      <c r="J197" s="47" t="s">
        <v>34</v>
      </c>
      <c r="K197" s="34" t="s">
        <v>820</v>
      </c>
      <c r="L197" s="156"/>
      <c r="M197" s="151"/>
      <c r="N197" s="151"/>
      <c r="O197" s="151"/>
      <c r="P197" s="151"/>
      <c r="Q197" s="151"/>
      <c r="R197" s="1"/>
      <c r="T197" s="1"/>
      <c r="U197" s="1"/>
      <c r="V197" s="1"/>
      <c r="W197" s="1"/>
    </row>
    <row r="198" spans="1:23" ht="15" customHeight="1">
      <c r="A198" s="34" t="s">
        <v>1401</v>
      </c>
      <c r="B198" s="34">
        <v>1293</v>
      </c>
      <c r="C198" s="34" t="s">
        <v>562</v>
      </c>
      <c r="D198" s="41">
        <v>45874</v>
      </c>
      <c r="E198" s="34" t="s">
        <v>65</v>
      </c>
      <c r="F198" s="34" t="s">
        <v>1402</v>
      </c>
      <c r="G198" s="34" t="s">
        <v>1404</v>
      </c>
      <c r="H198" s="34" t="s">
        <v>1405</v>
      </c>
      <c r="I198" s="34" t="s">
        <v>1407</v>
      </c>
      <c r="J198" s="47" t="s">
        <v>34</v>
      </c>
      <c r="K198" s="34" t="s">
        <v>820</v>
      </c>
      <c r="L198" s="156"/>
      <c r="M198" s="151"/>
      <c r="N198" s="151"/>
      <c r="O198" s="151"/>
      <c r="P198" s="151"/>
      <c r="Q198" s="151"/>
      <c r="R198" s="1"/>
      <c r="T198" s="1"/>
      <c r="U198" s="1"/>
      <c r="V198" s="1"/>
      <c r="W198" s="1"/>
    </row>
    <row r="199" spans="1:23" ht="15" customHeight="1">
      <c r="A199" s="34" t="s">
        <v>1400</v>
      </c>
      <c r="B199" s="34">
        <v>1294</v>
      </c>
      <c r="C199" s="34" t="s">
        <v>562</v>
      </c>
      <c r="D199" s="41">
        <v>45874</v>
      </c>
      <c r="E199" s="34" t="s">
        <v>65</v>
      </c>
      <c r="F199" s="34" t="s">
        <v>1402</v>
      </c>
      <c r="G199" s="34" t="s">
        <v>1403</v>
      </c>
      <c r="H199" s="34" t="s">
        <v>910</v>
      </c>
      <c r="I199" s="34" t="s">
        <v>1406</v>
      </c>
      <c r="J199" s="47" t="s">
        <v>34</v>
      </c>
      <c r="K199" s="34" t="s">
        <v>820</v>
      </c>
      <c r="L199" s="156"/>
      <c r="M199" s="151"/>
      <c r="N199" s="151"/>
      <c r="O199" s="151"/>
      <c r="P199" s="151"/>
      <c r="Q199" s="151"/>
      <c r="R199" s="1"/>
      <c r="T199" s="1"/>
      <c r="U199" s="1"/>
      <c r="V199" s="1"/>
      <c r="W199" s="1"/>
    </row>
    <row r="200" spans="1:23" ht="15" customHeight="1">
      <c r="A200" s="34" t="s">
        <v>1395</v>
      </c>
      <c r="B200" s="34"/>
      <c r="C200" s="34" t="s">
        <v>1396</v>
      </c>
      <c r="D200" s="41">
        <v>45874</v>
      </c>
      <c r="E200" s="34" t="s">
        <v>25</v>
      </c>
      <c r="F200" s="34"/>
      <c r="G200" s="34"/>
      <c r="H200" s="34" t="s">
        <v>1398</v>
      </c>
      <c r="I200" s="34"/>
      <c r="J200" s="47" t="s">
        <v>34</v>
      </c>
      <c r="K200" s="34" t="s">
        <v>820</v>
      </c>
      <c r="L200" s="156"/>
      <c r="M200" s="151"/>
      <c r="N200" s="151"/>
      <c r="O200" s="151"/>
      <c r="P200" s="151"/>
      <c r="Q200" s="151"/>
      <c r="R200" s="1"/>
      <c r="T200" s="1"/>
      <c r="U200" s="1"/>
      <c r="V200" s="1"/>
      <c r="W200" s="1"/>
    </row>
    <row r="201" spans="1:23" ht="15" customHeight="1">
      <c r="A201" s="34" t="s">
        <v>1394</v>
      </c>
      <c r="B201" s="34">
        <v>1292</v>
      </c>
      <c r="C201" s="34" t="s">
        <v>1396</v>
      </c>
      <c r="D201" s="41">
        <v>45874</v>
      </c>
      <c r="E201" s="34" t="s">
        <v>25</v>
      </c>
      <c r="F201" s="34" t="s">
        <v>256</v>
      </c>
      <c r="G201" s="34" t="s">
        <v>1397</v>
      </c>
      <c r="H201" s="34" t="s">
        <v>1159</v>
      </c>
      <c r="I201" s="34" t="s">
        <v>1399</v>
      </c>
      <c r="J201" s="47" t="s">
        <v>34</v>
      </c>
      <c r="K201" s="34" t="s">
        <v>820</v>
      </c>
      <c r="L201" s="156"/>
      <c r="M201" s="151"/>
      <c r="N201" s="151"/>
      <c r="O201" s="151"/>
      <c r="P201" s="151"/>
      <c r="Q201" s="151"/>
      <c r="R201" s="1"/>
      <c r="T201" s="1"/>
      <c r="U201" s="1"/>
      <c r="V201" s="1"/>
      <c r="W201" s="1"/>
    </row>
    <row r="202" spans="1:23" ht="15" customHeight="1">
      <c r="A202" s="34">
        <v>948</v>
      </c>
      <c r="B202" s="34">
        <v>1291</v>
      </c>
      <c r="C202" s="34" t="s">
        <v>1391</v>
      </c>
      <c r="D202" s="41">
        <v>45873</v>
      </c>
      <c r="E202" s="34" t="s">
        <v>25</v>
      </c>
      <c r="F202" s="34" t="s">
        <v>256</v>
      </c>
      <c r="G202" s="34" t="s">
        <v>1392</v>
      </c>
      <c r="H202" s="34" t="s">
        <v>1159</v>
      </c>
      <c r="I202" s="34" t="s">
        <v>1393</v>
      </c>
      <c r="J202" s="47" t="s">
        <v>34</v>
      </c>
      <c r="K202" s="34" t="s">
        <v>820</v>
      </c>
      <c r="L202" s="156"/>
      <c r="M202" s="151"/>
      <c r="N202" s="151"/>
      <c r="O202" s="151"/>
      <c r="P202" s="151"/>
      <c r="Q202" s="151"/>
      <c r="R202" s="1"/>
      <c r="T202" s="1"/>
      <c r="U202" s="1"/>
      <c r="V202" s="1"/>
      <c r="W202" s="1"/>
    </row>
    <row r="203" spans="1:23" ht="15" customHeight="1">
      <c r="A203" s="34">
        <v>947</v>
      </c>
      <c r="B203" s="34">
        <v>1288</v>
      </c>
      <c r="C203" s="34" t="s">
        <v>1388</v>
      </c>
      <c r="D203" s="41">
        <v>45870</v>
      </c>
      <c r="E203" s="34" t="s">
        <v>25</v>
      </c>
      <c r="F203" s="34" t="s">
        <v>1389</v>
      </c>
      <c r="G203" s="34" t="s">
        <v>547</v>
      </c>
      <c r="H203" s="34" t="s">
        <v>1372</v>
      </c>
      <c r="I203" s="34" t="s">
        <v>1390</v>
      </c>
      <c r="J203" s="47" t="s">
        <v>34</v>
      </c>
      <c r="K203" s="34" t="s">
        <v>820</v>
      </c>
      <c r="L203" s="156"/>
      <c r="M203" s="151"/>
      <c r="N203" s="151"/>
      <c r="O203" s="151"/>
      <c r="P203" s="151"/>
      <c r="Q203" s="151"/>
      <c r="R203" s="1"/>
      <c r="T203" s="1"/>
      <c r="U203" s="1"/>
      <c r="V203" s="1"/>
      <c r="W203" s="1"/>
    </row>
    <row r="204" spans="1:23" ht="15" customHeight="1">
      <c r="A204" s="34">
        <v>946</v>
      </c>
      <c r="B204" s="34">
        <v>1286</v>
      </c>
      <c r="C204" s="34" t="s">
        <v>1336</v>
      </c>
      <c r="D204" s="41">
        <v>45864</v>
      </c>
      <c r="E204" s="34" t="s">
        <v>25</v>
      </c>
      <c r="F204" s="34" t="s">
        <v>1384</v>
      </c>
      <c r="G204" s="34" t="s">
        <v>1385</v>
      </c>
      <c r="H204" s="34" t="s">
        <v>1386</v>
      </c>
      <c r="I204" s="34" t="s">
        <v>1387</v>
      </c>
      <c r="J204" s="47" t="s">
        <v>34</v>
      </c>
      <c r="K204" s="34" t="s">
        <v>820</v>
      </c>
      <c r="L204" s="156"/>
      <c r="M204" s="151"/>
      <c r="N204" s="151"/>
      <c r="O204" s="151"/>
      <c r="P204" s="151"/>
      <c r="Q204" s="151"/>
      <c r="R204" s="1"/>
      <c r="T204" s="1"/>
      <c r="U204" s="1"/>
      <c r="V204" s="1"/>
      <c r="W204" s="1"/>
    </row>
    <row r="205" spans="1:23" ht="15" customHeight="1">
      <c r="A205" s="34" t="s">
        <v>1378</v>
      </c>
      <c r="B205" s="34">
        <v>1290</v>
      </c>
      <c r="C205" s="34" t="s">
        <v>1379</v>
      </c>
      <c r="D205" s="41">
        <v>45862</v>
      </c>
      <c r="E205" s="34"/>
      <c r="F205" s="34" t="s">
        <v>1381</v>
      </c>
      <c r="G205" s="34" t="s">
        <v>1383</v>
      </c>
      <c r="H205" s="34" t="s">
        <v>1372</v>
      </c>
      <c r="I205" s="34"/>
      <c r="J205" s="47" t="s">
        <v>34</v>
      </c>
      <c r="K205" s="34" t="s">
        <v>820</v>
      </c>
      <c r="L205" s="156"/>
      <c r="M205" s="151"/>
      <c r="N205" s="151"/>
      <c r="O205" s="151"/>
      <c r="P205" s="151"/>
      <c r="Q205" s="151"/>
      <c r="R205" s="1"/>
      <c r="T205" s="1"/>
      <c r="U205" s="1"/>
      <c r="V205" s="1"/>
      <c r="W205" s="1"/>
    </row>
    <row r="206" spans="1:23" ht="15" customHeight="1">
      <c r="A206" s="34" t="s">
        <v>1377</v>
      </c>
      <c r="B206" s="34">
        <v>1289</v>
      </c>
      <c r="C206" s="34" t="s">
        <v>1379</v>
      </c>
      <c r="D206" s="41">
        <v>45862</v>
      </c>
      <c r="E206" s="34"/>
      <c r="F206" s="34" t="s">
        <v>1380</v>
      </c>
      <c r="G206" s="34" t="s">
        <v>1382</v>
      </c>
      <c r="H206" s="34" t="s">
        <v>1372</v>
      </c>
      <c r="I206" s="34"/>
      <c r="J206" s="47" t="s">
        <v>34</v>
      </c>
      <c r="K206" s="34" t="s">
        <v>820</v>
      </c>
      <c r="L206" s="156"/>
      <c r="M206" s="151"/>
      <c r="N206" s="151"/>
      <c r="O206" s="151"/>
      <c r="P206" s="151"/>
      <c r="Q206" s="151"/>
      <c r="R206" s="1"/>
      <c r="T206" s="1"/>
      <c r="U206" s="1"/>
      <c r="V206" s="1"/>
      <c r="W206" s="1"/>
    </row>
    <row r="207" spans="1:23" ht="15" customHeight="1">
      <c r="A207" s="34">
        <v>944</v>
      </c>
      <c r="B207" s="34">
        <v>1287</v>
      </c>
      <c r="C207" s="34" t="s">
        <v>1375</v>
      </c>
      <c r="D207" s="41">
        <v>45862</v>
      </c>
      <c r="E207" s="34" t="s">
        <v>19</v>
      </c>
      <c r="F207" s="34" t="s">
        <v>169</v>
      </c>
      <c r="G207" s="34" t="s">
        <v>1376</v>
      </c>
      <c r="H207" s="34" t="s">
        <v>1372</v>
      </c>
      <c r="I207" s="34" t="s">
        <v>1248</v>
      </c>
      <c r="J207" s="47" t="s">
        <v>34</v>
      </c>
      <c r="K207" s="34" t="s">
        <v>820</v>
      </c>
      <c r="L207" s="156"/>
      <c r="M207" s="151"/>
      <c r="N207" s="151"/>
      <c r="O207" s="151"/>
      <c r="P207" s="151"/>
      <c r="Q207" s="151"/>
      <c r="R207" s="1"/>
      <c r="T207" s="1"/>
      <c r="U207" s="1"/>
      <c r="V207" s="1"/>
      <c r="W207" s="1"/>
    </row>
    <row r="208" spans="1:23" ht="15" customHeight="1">
      <c r="A208" s="34" t="s">
        <v>1367</v>
      </c>
      <c r="B208" s="34">
        <v>1296</v>
      </c>
      <c r="C208" s="34" t="s">
        <v>1368</v>
      </c>
      <c r="D208" s="41">
        <v>45862</v>
      </c>
      <c r="E208" s="34" t="s">
        <v>1369</v>
      </c>
      <c r="F208" s="34" t="s">
        <v>89</v>
      </c>
      <c r="G208" s="34" t="s">
        <v>1282</v>
      </c>
      <c r="H208" s="34" t="s">
        <v>1374</v>
      </c>
      <c r="I208" s="34"/>
      <c r="J208" s="47" t="s">
        <v>34</v>
      </c>
      <c r="K208" s="34" t="s">
        <v>820</v>
      </c>
      <c r="L208" s="156"/>
      <c r="M208" s="151"/>
      <c r="N208" s="151"/>
      <c r="O208" s="151"/>
      <c r="P208" s="151"/>
      <c r="Q208" s="151"/>
      <c r="R208" s="1"/>
      <c r="T208" s="1"/>
      <c r="U208" s="1"/>
      <c r="V208" s="1"/>
      <c r="W208" s="1"/>
    </row>
    <row r="209" spans="1:23" ht="15" customHeight="1">
      <c r="A209" s="34" t="s">
        <v>1366</v>
      </c>
      <c r="B209" s="34">
        <v>1285</v>
      </c>
      <c r="C209" s="34" t="s">
        <v>1368</v>
      </c>
      <c r="D209" s="41">
        <v>45862</v>
      </c>
      <c r="E209" s="34" t="s">
        <v>1369</v>
      </c>
      <c r="F209" s="34" t="s">
        <v>1370</v>
      </c>
      <c r="G209" s="34" t="s">
        <v>1371</v>
      </c>
      <c r="H209" s="34" t="s">
        <v>1372</v>
      </c>
      <c r="I209" s="34" t="s">
        <v>1373</v>
      </c>
      <c r="J209" s="47" t="s">
        <v>34</v>
      </c>
      <c r="K209" s="34" t="s">
        <v>820</v>
      </c>
      <c r="L209" s="156"/>
      <c r="M209" s="151"/>
      <c r="N209" s="151"/>
      <c r="O209" s="151"/>
      <c r="P209" s="151"/>
      <c r="Q209" s="151"/>
      <c r="R209" s="1"/>
      <c r="T209" s="1"/>
      <c r="U209" s="1"/>
      <c r="V209" s="1"/>
      <c r="W209" s="1"/>
    </row>
    <row r="210" spans="1:23" ht="15" customHeight="1">
      <c r="A210" s="34">
        <v>942</v>
      </c>
      <c r="B210" s="34">
        <v>1283</v>
      </c>
      <c r="C210" s="34" t="s">
        <v>1360</v>
      </c>
      <c r="D210" s="41">
        <v>45856</v>
      </c>
      <c r="E210" s="34" t="s">
        <v>1361</v>
      </c>
      <c r="F210" s="34" t="s">
        <v>1362</v>
      </c>
      <c r="G210" s="34" t="s">
        <v>1363</v>
      </c>
      <c r="H210" s="34" t="s">
        <v>1364</v>
      </c>
      <c r="I210" s="34" t="s">
        <v>1365</v>
      </c>
      <c r="J210" s="47" t="s">
        <v>34</v>
      </c>
      <c r="K210" s="34" t="s">
        <v>1299</v>
      </c>
      <c r="L210" s="156"/>
      <c r="M210" s="151"/>
      <c r="N210" s="151"/>
      <c r="O210" s="151"/>
      <c r="P210" s="151"/>
      <c r="Q210" s="151"/>
      <c r="R210" s="1"/>
      <c r="T210" s="1"/>
      <c r="U210" s="1"/>
      <c r="V210" s="1"/>
      <c r="W210" s="1"/>
    </row>
    <row r="211" spans="1:23" ht="15" customHeight="1">
      <c r="A211" s="34">
        <v>941</v>
      </c>
      <c r="B211" s="34">
        <v>1284</v>
      </c>
      <c r="C211" s="34" t="s">
        <v>1357</v>
      </c>
      <c r="D211" s="41">
        <v>45853</v>
      </c>
      <c r="E211" s="34" t="s">
        <v>638</v>
      </c>
      <c r="F211" s="34" t="s">
        <v>1358</v>
      </c>
      <c r="G211" s="34" t="s">
        <v>1282</v>
      </c>
      <c r="H211" s="34" t="s">
        <v>1359</v>
      </c>
      <c r="I211" s="34"/>
      <c r="J211" s="69" t="s">
        <v>50</v>
      </c>
      <c r="K211" s="34" t="s">
        <v>51</v>
      </c>
      <c r="L211" s="156"/>
      <c r="M211" s="151"/>
      <c r="N211" s="151"/>
      <c r="O211" s="151"/>
      <c r="P211" s="151"/>
      <c r="Q211" s="151"/>
      <c r="R211" s="1"/>
      <c r="T211" s="1"/>
      <c r="U211" s="1"/>
      <c r="V211" s="1"/>
      <c r="W211" s="1"/>
    </row>
    <row r="212" spans="1:23" ht="15" customHeight="1">
      <c r="A212" s="34">
        <v>940</v>
      </c>
      <c r="B212" s="34">
        <v>1282</v>
      </c>
      <c r="C212" s="34" t="s">
        <v>1336</v>
      </c>
      <c r="D212" s="41">
        <v>45853</v>
      </c>
      <c r="E212" s="34" t="s">
        <v>25</v>
      </c>
      <c r="F212" s="34" t="s">
        <v>698</v>
      </c>
      <c r="G212" s="34" t="s">
        <v>1356</v>
      </c>
      <c r="H212" s="34" t="s">
        <v>1159</v>
      </c>
      <c r="I212" s="34"/>
      <c r="J212" s="47" t="s">
        <v>34</v>
      </c>
      <c r="K212" s="34" t="s">
        <v>820</v>
      </c>
      <c r="L212" s="156"/>
      <c r="M212" s="151"/>
      <c r="N212" s="151"/>
      <c r="O212" s="151"/>
      <c r="P212" s="151"/>
      <c r="Q212" s="151"/>
      <c r="R212" s="1"/>
      <c r="T212" s="1"/>
      <c r="U212" s="1"/>
      <c r="V212" s="1"/>
      <c r="W212" s="1"/>
    </row>
    <row r="213" spans="1:23" ht="15" customHeight="1">
      <c r="A213" s="34">
        <v>939</v>
      </c>
      <c r="B213" s="34">
        <v>1281</v>
      </c>
      <c r="C213" s="34" t="s">
        <v>1352</v>
      </c>
      <c r="D213" s="41">
        <v>45853</v>
      </c>
      <c r="E213" s="34" t="s">
        <v>1315</v>
      </c>
      <c r="F213" s="34" t="s">
        <v>1345</v>
      </c>
      <c r="G213" s="34" t="s">
        <v>1353</v>
      </c>
      <c r="H213" s="34" t="s">
        <v>1354</v>
      </c>
      <c r="I213" s="34" t="s">
        <v>1355</v>
      </c>
      <c r="J213" s="47" t="s">
        <v>34</v>
      </c>
      <c r="K213" s="34" t="s">
        <v>1299</v>
      </c>
      <c r="L213" s="156"/>
      <c r="M213" s="151"/>
      <c r="N213" s="151"/>
      <c r="O213" s="151"/>
      <c r="P213" s="151"/>
      <c r="Q213" s="151"/>
      <c r="R213" s="1"/>
      <c r="T213" s="1"/>
      <c r="U213" s="1"/>
      <c r="V213" s="1"/>
      <c r="W213" s="1"/>
    </row>
    <row r="214" spans="1:23" ht="15" customHeight="1">
      <c r="A214" s="34" t="s">
        <v>1342</v>
      </c>
      <c r="B214" s="34">
        <v>1279</v>
      </c>
      <c r="C214" s="34" t="s">
        <v>1344</v>
      </c>
      <c r="D214" s="41">
        <v>45849</v>
      </c>
      <c r="E214" s="34" t="s">
        <v>1315</v>
      </c>
      <c r="F214" s="34" t="s">
        <v>1345</v>
      </c>
      <c r="G214" s="34" t="s">
        <v>1347</v>
      </c>
      <c r="H214" s="34" t="s">
        <v>1349</v>
      </c>
      <c r="I214" s="34" t="s">
        <v>1351</v>
      </c>
      <c r="J214" s="47" t="s">
        <v>34</v>
      </c>
      <c r="K214" s="34" t="s">
        <v>820</v>
      </c>
      <c r="L214" s="156"/>
      <c r="M214" s="151"/>
      <c r="N214" s="151"/>
      <c r="O214" s="151"/>
      <c r="P214" s="151"/>
      <c r="Q214" s="151"/>
      <c r="R214" s="1"/>
      <c r="T214" s="1"/>
      <c r="U214" s="1"/>
      <c r="V214" s="1"/>
      <c r="W214" s="1"/>
    </row>
    <row r="215" spans="1:23" ht="15" customHeight="1">
      <c r="A215" s="34" t="s">
        <v>1341</v>
      </c>
      <c r="B215" s="34">
        <v>1280</v>
      </c>
      <c r="C215" s="34" t="s">
        <v>1344</v>
      </c>
      <c r="D215" s="41">
        <v>45849</v>
      </c>
      <c r="E215" s="34" t="s">
        <v>1315</v>
      </c>
      <c r="F215" s="34" t="s">
        <v>1343</v>
      </c>
      <c r="G215" s="34" t="s">
        <v>1346</v>
      </c>
      <c r="H215" s="34" t="s">
        <v>1348</v>
      </c>
      <c r="I215" s="34" t="s">
        <v>1350</v>
      </c>
      <c r="J215" s="47" t="s">
        <v>34</v>
      </c>
      <c r="K215" s="34" t="s">
        <v>820</v>
      </c>
      <c r="L215" s="156"/>
      <c r="M215" s="151"/>
      <c r="N215" s="151"/>
      <c r="O215" s="151"/>
      <c r="P215" s="151"/>
      <c r="Q215" s="151"/>
      <c r="R215" s="1"/>
      <c r="T215" s="1"/>
      <c r="U215" s="1"/>
      <c r="V215" s="1"/>
      <c r="W215" s="1"/>
    </row>
    <row r="216" spans="1:23" ht="15" customHeight="1">
      <c r="A216" s="34">
        <v>937</v>
      </c>
      <c r="B216" s="34">
        <v>1277</v>
      </c>
      <c r="C216" s="34" t="s">
        <v>1336</v>
      </c>
      <c r="D216" s="41">
        <v>45846</v>
      </c>
      <c r="E216" s="34" t="s">
        <v>25</v>
      </c>
      <c r="F216" s="34" t="s">
        <v>1337</v>
      </c>
      <c r="G216" s="34" t="s">
        <v>1338</v>
      </c>
      <c r="H216" s="34" t="s">
        <v>1339</v>
      </c>
      <c r="I216" s="34" t="s">
        <v>1340</v>
      </c>
      <c r="J216" s="47" t="s">
        <v>34</v>
      </c>
      <c r="K216" s="34" t="s">
        <v>820</v>
      </c>
      <c r="L216" s="156"/>
      <c r="M216" s="151"/>
      <c r="N216" s="151"/>
      <c r="O216" s="151"/>
      <c r="P216" s="151"/>
      <c r="Q216" s="151"/>
      <c r="R216" s="1"/>
      <c r="T216" s="1"/>
      <c r="U216" s="1"/>
      <c r="V216" s="1"/>
      <c r="W216" s="1"/>
    </row>
    <row r="217" spans="1:23" ht="15" customHeight="1">
      <c r="A217" s="34">
        <v>929</v>
      </c>
      <c r="B217" s="34">
        <v>1269</v>
      </c>
      <c r="C217" s="34" t="s">
        <v>1333</v>
      </c>
      <c r="D217" s="41">
        <v>45836</v>
      </c>
      <c r="E217" s="34" t="s">
        <v>25</v>
      </c>
      <c r="F217" s="34" t="s">
        <v>1334</v>
      </c>
      <c r="G217" s="34" t="s">
        <v>1282</v>
      </c>
      <c r="H217" s="34" t="s">
        <v>1335</v>
      </c>
      <c r="I217" s="34" t="s">
        <v>1248</v>
      </c>
      <c r="J217" s="47" t="s">
        <v>34</v>
      </c>
      <c r="K217" s="34" t="s">
        <v>820</v>
      </c>
      <c r="L217" s="156"/>
      <c r="M217" s="151"/>
      <c r="N217" s="151"/>
      <c r="O217" s="151"/>
      <c r="P217" s="151"/>
      <c r="Q217" s="151"/>
      <c r="R217" s="1"/>
      <c r="T217" s="1"/>
      <c r="U217" s="1"/>
      <c r="V217" s="1"/>
      <c r="W217" s="1"/>
    </row>
    <row r="218" spans="1:23" ht="15" customHeight="1">
      <c r="A218" s="34">
        <v>936</v>
      </c>
      <c r="B218" s="34">
        <v>1273</v>
      </c>
      <c r="C218" s="34" t="s">
        <v>1329</v>
      </c>
      <c r="D218" s="41">
        <v>45846</v>
      </c>
      <c r="E218" s="34" t="s">
        <v>25</v>
      </c>
      <c r="F218" s="34" t="s">
        <v>337</v>
      </c>
      <c r="G218" s="34" t="s">
        <v>1330</v>
      </c>
      <c r="H218" s="34" t="s">
        <v>1331</v>
      </c>
      <c r="I218" s="34" t="s">
        <v>1332</v>
      </c>
      <c r="J218" s="47" t="s">
        <v>34</v>
      </c>
      <c r="K218" s="34" t="s">
        <v>820</v>
      </c>
      <c r="L218" s="156"/>
      <c r="M218" s="151"/>
      <c r="N218" s="151"/>
      <c r="O218" s="151"/>
      <c r="P218" s="151"/>
      <c r="Q218" s="151"/>
      <c r="R218" s="1"/>
      <c r="T218" s="1"/>
      <c r="U218" s="1"/>
      <c r="V218" s="1"/>
      <c r="W218" s="1"/>
    </row>
    <row r="219" spans="1:23" ht="15" customHeight="1">
      <c r="A219" s="34">
        <v>935</v>
      </c>
      <c r="B219" s="34"/>
      <c r="C219" s="34" t="s">
        <v>1325</v>
      </c>
      <c r="D219" s="41">
        <v>45839</v>
      </c>
      <c r="E219" s="34" t="s">
        <v>1326</v>
      </c>
      <c r="F219" s="34" t="s">
        <v>1327</v>
      </c>
      <c r="G219" s="34">
        <v>141200027</v>
      </c>
      <c r="H219" s="34" t="s">
        <v>1328</v>
      </c>
      <c r="I219" s="34" t="s">
        <v>1328</v>
      </c>
      <c r="J219" s="47" t="s">
        <v>34</v>
      </c>
      <c r="K219" s="34" t="s">
        <v>820</v>
      </c>
      <c r="L219" s="156"/>
      <c r="M219" s="151"/>
      <c r="N219" s="151"/>
      <c r="O219" s="151"/>
      <c r="P219" s="151"/>
      <c r="Q219" s="151"/>
      <c r="R219" s="1"/>
      <c r="T219" s="1"/>
      <c r="U219" s="1"/>
      <c r="V219" s="1"/>
      <c r="W219" s="1"/>
    </row>
    <row r="220" spans="1:23" ht="15" customHeight="1">
      <c r="A220" s="34">
        <v>934</v>
      </c>
      <c r="B220" s="34">
        <v>1271</v>
      </c>
      <c r="C220" s="34" t="s">
        <v>1217</v>
      </c>
      <c r="D220" s="41">
        <v>45840</v>
      </c>
      <c r="E220" s="34" t="s">
        <v>25</v>
      </c>
      <c r="F220" s="34" t="s">
        <v>260</v>
      </c>
      <c r="G220" s="34" t="s">
        <v>1324</v>
      </c>
      <c r="H220" s="34" t="s">
        <v>910</v>
      </c>
      <c r="I220" s="34" t="s">
        <v>910</v>
      </c>
      <c r="J220" s="47" t="s">
        <v>34</v>
      </c>
      <c r="K220" s="34" t="s">
        <v>820</v>
      </c>
      <c r="L220" s="156"/>
      <c r="M220" s="151"/>
      <c r="N220" s="151"/>
      <c r="O220" s="151"/>
      <c r="P220" s="151"/>
      <c r="Q220" s="151"/>
      <c r="R220" s="1"/>
      <c r="T220" s="1"/>
      <c r="U220" s="1"/>
      <c r="V220" s="1"/>
      <c r="W220" s="1"/>
    </row>
    <row r="221" spans="1:23" ht="15" customHeight="1">
      <c r="A221" s="34">
        <v>933</v>
      </c>
      <c r="B221" s="34">
        <v>1270</v>
      </c>
      <c r="C221" s="34" t="s">
        <v>1288</v>
      </c>
      <c r="D221" s="41">
        <v>45838</v>
      </c>
      <c r="E221" s="34" t="s">
        <v>25</v>
      </c>
      <c r="F221" s="34" t="s">
        <v>1289</v>
      </c>
      <c r="G221" s="34" t="s">
        <v>1322</v>
      </c>
      <c r="H221" s="34" t="s">
        <v>910</v>
      </c>
      <c r="I221" s="34" t="s">
        <v>1323</v>
      </c>
      <c r="J221" s="47" t="s">
        <v>34</v>
      </c>
      <c r="K221" s="34" t="s">
        <v>820</v>
      </c>
      <c r="L221" s="156"/>
      <c r="M221" s="151"/>
      <c r="N221" s="151"/>
      <c r="O221" s="151"/>
      <c r="P221" s="151"/>
      <c r="Q221" s="151"/>
      <c r="R221" s="1"/>
      <c r="T221" s="1"/>
      <c r="U221" s="1"/>
      <c r="V221" s="1"/>
      <c r="W221" s="1"/>
    </row>
    <row r="222" spans="1:23" ht="15" customHeight="1">
      <c r="A222" s="34">
        <v>932</v>
      </c>
      <c r="B222" s="34">
        <v>1272</v>
      </c>
      <c r="C222" s="34" t="s">
        <v>1314</v>
      </c>
      <c r="D222" s="41">
        <v>45836</v>
      </c>
      <c r="E222" s="34" t="s">
        <v>1315</v>
      </c>
      <c r="F222" s="34" t="s">
        <v>89</v>
      </c>
      <c r="G222" s="34" t="s">
        <v>1316</v>
      </c>
      <c r="H222" s="34" t="s">
        <v>910</v>
      </c>
      <c r="I222" s="34"/>
      <c r="J222" s="47" t="s">
        <v>34</v>
      </c>
      <c r="K222" s="34" t="s">
        <v>820</v>
      </c>
      <c r="L222" s="156"/>
      <c r="M222" s="151"/>
      <c r="N222" s="151"/>
      <c r="O222" s="151"/>
      <c r="P222" s="151"/>
      <c r="Q222" s="151"/>
      <c r="R222" s="1"/>
      <c r="T222" s="1"/>
      <c r="U222" s="1"/>
      <c r="V222" s="1"/>
      <c r="W222" s="1"/>
    </row>
    <row r="223" spans="1:23" ht="15" customHeight="1">
      <c r="A223" s="34" t="s">
        <v>1306</v>
      </c>
      <c r="B223" s="34">
        <v>1268</v>
      </c>
      <c r="C223" s="34" t="s">
        <v>1307</v>
      </c>
      <c r="D223" s="41">
        <v>45836</v>
      </c>
      <c r="E223" s="34" t="s">
        <v>25</v>
      </c>
      <c r="F223" s="34" t="s">
        <v>1309</v>
      </c>
      <c r="G223" s="34" t="s">
        <v>1310</v>
      </c>
      <c r="H223" s="34" t="s">
        <v>910</v>
      </c>
      <c r="I223" s="34" t="s">
        <v>1182</v>
      </c>
      <c r="J223" s="47" t="s">
        <v>34</v>
      </c>
      <c r="K223" s="34" t="s">
        <v>820</v>
      </c>
      <c r="L223" s="169" t="s">
        <v>1933</v>
      </c>
      <c r="M223" s="151"/>
      <c r="N223" s="152" t="s">
        <v>1918</v>
      </c>
      <c r="O223" s="173" t="s">
        <v>2020</v>
      </c>
      <c r="P223" s="148" t="s">
        <v>2030</v>
      </c>
      <c r="Q223" s="152" t="s">
        <v>1918</v>
      </c>
      <c r="R223" s="1"/>
      <c r="T223" s="1"/>
      <c r="U223" s="1"/>
      <c r="V223" s="1"/>
      <c r="W223" s="1"/>
    </row>
    <row r="224" spans="1:23" ht="15" customHeight="1">
      <c r="A224" s="34" t="s">
        <v>1305</v>
      </c>
      <c r="B224" s="40" t="s">
        <v>13</v>
      </c>
      <c r="C224" s="34" t="s">
        <v>1307</v>
      </c>
      <c r="D224" s="41">
        <v>45836</v>
      </c>
      <c r="E224" s="34" t="s">
        <v>25</v>
      </c>
      <c r="F224" s="34" t="s">
        <v>1308</v>
      </c>
      <c r="G224" s="34" t="s">
        <v>1311</v>
      </c>
      <c r="H224" s="34" t="s">
        <v>1313</v>
      </c>
      <c r="I224" s="34" t="s">
        <v>1182</v>
      </c>
      <c r="J224" s="47" t="s">
        <v>34</v>
      </c>
      <c r="K224" s="34" t="s">
        <v>820</v>
      </c>
      <c r="L224" s="156"/>
      <c r="M224" s="151"/>
      <c r="N224" s="151"/>
      <c r="O224" s="151"/>
      <c r="P224" s="151"/>
      <c r="Q224" s="151"/>
      <c r="R224" s="1"/>
      <c r="T224" s="1"/>
      <c r="U224" s="1"/>
      <c r="V224" s="1"/>
      <c r="W224" s="1"/>
    </row>
    <row r="225" spans="1:23" ht="15" customHeight="1">
      <c r="A225" s="34" t="s">
        <v>1304</v>
      </c>
      <c r="B225" s="40" t="s">
        <v>13</v>
      </c>
      <c r="C225" s="34" t="s">
        <v>1307</v>
      </c>
      <c r="D225" s="41">
        <v>45836</v>
      </c>
      <c r="E225" s="34" t="s">
        <v>25</v>
      </c>
      <c r="F225" s="34" t="s">
        <v>1308</v>
      </c>
      <c r="G225" s="34" t="s">
        <v>1312</v>
      </c>
      <c r="H225" s="34" t="s">
        <v>1313</v>
      </c>
      <c r="I225" s="34" t="s">
        <v>1182</v>
      </c>
      <c r="J225" s="47" t="s">
        <v>34</v>
      </c>
      <c r="K225" s="34" t="s">
        <v>820</v>
      </c>
      <c r="L225" s="156"/>
      <c r="M225" s="151"/>
      <c r="N225" s="151"/>
      <c r="O225" s="151"/>
      <c r="P225" s="151"/>
      <c r="Q225" s="151"/>
      <c r="R225" s="1"/>
      <c r="T225" s="1"/>
      <c r="U225" s="1"/>
      <c r="V225" s="1"/>
      <c r="W225" s="1"/>
    </row>
    <row r="226" spans="1:23" ht="15" customHeight="1">
      <c r="A226" s="34">
        <v>930</v>
      </c>
      <c r="B226" s="34">
        <v>1267</v>
      </c>
      <c r="C226" s="34" t="s">
        <v>1300</v>
      </c>
      <c r="D226" s="41">
        <v>45836</v>
      </c>
      <c r="E226" s="34" t="s">
        <v>25</v>
      </c>
      <c r="F226" s="34" t="s">
        <v>1301</v>
      </c>
      <c r="G226" s="34" t="s">
        <v>1302</v>
      </c>
      <c r="H226" s="34" t="s">
        <v>899</v>
      </c>
      <c r="I226" s="34" t="s">
        <v>1303</v>
      </c>
      <c r="J226" s="47" t="s">
        <v>34</v>
      </c>
      <c r="K226" s="34" t="s">
        <v>820</v>
      </c>
      <c r="L226" s="156"/>
      <c r="M226" s="151"/>
      <c r="N226" s="151"/>
      <c r="O226" s="151"/>
      <c r="P226" s="151"/>
      <c r="Q226" s="151"/>
      <c r="R226" s="1"/>
      <c r="T226" s="1"/>
      <c r="U226" s="1"/>
      <c r="V226" s="1"/>
      <c r="W226" s="1"/>
    </row>
    <row r="227" spans="1:23" ht="15" customHeight="1">
      <c r="A227" s="34">
        <v>928</v>
      </c>
      <c r="B227" s="34">
        <v>1264</v>
      </c>
      <c r="C227" s="34" t="s">
        <v>1296</v>
      </c>
      <c r="D227" s="41">
        <v>45834</v>
      </c>
      <c r="E227" s="34" t="s">
        <v>25</v>
      </c>
      <c r="F227" s="34" t="s">
        <v>1297</v>
      </c>
      <c r="G227" s="34" t="s">
        <v>1282</v>
      </c>
      <c r="H227" s="34" t="s">
        <v>910</v>
      </c>
      <c r="I227" s="34" t="s">
        <v>1298</v>
      </c>
      <c r="J227" s="47" t="s">
        <v>34</v>
      </c>
      <c r="K227" s="34" t="s">
        <v>820</v>
      </c>
      <c r="L227" s="156"/>
      <c r="M227" s="151"/>
      <c r="N227" s="151"/>
      <c r="O227" s="151"/>
      <c r="P227" s="151"/>
      <c r="Q227" s="151"/>
      <c r="R227" s="1"/>
      <c r="T227" s="1"/>
      <c r="U227" s="1"/>
      <c r="V227" s="1"/>
      <c r="W227" s="1"/>
    </row>
    <row r="228" spans="1:23" ht="15" customHeight="1">
      <c r="A228" s="34">
        <v>927</v>
      </c>
      <c r="B228" s="34">
        <v>1265</v>
      </c>
      <c r="C228" s="34" t="s">
        <v>1292</v>
      </c>
      <c r="D228" s="41">
        <v>45833</v>
      </c>
      <c r="E228" s="34" t="s">
        <v>25</v>
      </c>
      <c r="F228" s="34" t="s">
        <v>337</v>
      </c>
      <c r="G228" s="34" t="s">
        <v>1293</v>
      </c>
      <c r="H228" s="34" t="s">
        <v>1294</v>
      </c>
      <c r="I228" s="34" t="s">
        <v>1295</v>
      </c>
      <c r="J228" s="47" t="s">
        <v>34</v>
      </c>
      <c r="K228" s="34" t="s">
        <v>820</v>
      </c>
      <c r="L228" s="156"/>
      <c r="M228" s="151"/>
      <c r="N228" s="151"/>
      <c r="O228" s="151"/>
      <c r="P228" s="151"/>
      <c r="Q228" s="151"/>
      <c r="R228" s="1"/>
      <c r="T228" s="1"/>
      <c r="U228" s="1"/>
      <c r="V228" s="1"/>
      <c r="W228" s="1"/>
    </row>
    <row r="229" spans="1:23" ht="15" customHeight="1">
      <c r="A229" s="34">
        <v>926</v>
      </c>
      <c r="B229" s="34">
        <v>1266</v>
      </c>
      <c r="C229" s="34" t="s">
        <v>1288</v>
      </c>
      <c r="D229" s="41">
        <v>45833</v>
      </c>
      <c r="E229" s="34" t="s">
        <v>25</v>
      </c>
      <c r="F229" s="34" t="s">
        <v>1289</v>
      </c>
      <c r="G229" s="34" t="s">
        <v>1290</v>
      </c>
      <c r="H229" s="34" t="s">
        <v>910</v>
      </c>
      <c r="I229" s="34" t="s">
        <v>1291</v>
      </c>
      <c r="J229" s="47" t="s">
        <v>34</v>
      </c>
      <c r="K229" s="34" t="s">
        <v>820</v>
      </c>
      <c r="L229" s="156"/>
      <c r="M229" s="151"/>
      <c r="N229" s="151"/>
      <c r="O229" s="151"/>
      <c r="P229" s="151"/>
      <c r="Q229" s="151"/>
      <c r="R229" s="1"/>
      <c r="T229" s="1"/>
      <c r="U229" s="1"/>
      <c r="V229" s="1"/>
      <c r="W229" s="1"/>
    </row>
    <row r="230" spans="1:23" ht="15" customHeight="1">
      <c r="A230" s="34">
        <v>925</v>
      </c>
      <c r="B230" s="34">
        <v>1261</v>
      </c>
      <c r="C230" s="34" t="s">
        <v>562</v>
      </c>
      <c r="D230" s="41">
        <v>45828</v>
      </c>
      <c r="E230" s="34" t="s">
        <v>25</v>
      </c>
      <c r="F230" s="34" t="s">
        <v>603</v>
      </c>
      <c r="G230" s="34" t="s">
        <v>1282</v>
      </c>
      <c r="H230" s="34" t="s">
        <v>1283</v>
      </c>
      <c r="I230" s="34" t="s">
        <v>1284</v>
      </c>
      <c r="J230" s="47" t="s">
        <v>34</v>
      </c>
      <c r="K230" s="34" t="s">
        <v>820</v>
      </c>
      <c r="L230" s="156"/>
      <c r="M230" s="151"/>
      <c r="N230" s="151"/>
      <c r="O230" s="151"/>
      <c r="P230" s="151"/>
      <c r="Q230" s="151"/>
      <c r="R230" s="1"/>
      <c r="T230" s="1"/>
      <c r="U230" s="1"/>
      <c r="V230" s="1"/>
      <c r="W230" s="1"/>
    </row>
    <row r="231" spans="1:23" ht="15" customHeight="1">
      <c r="A231" s="34">
        <v>924</v>
      </c>
      <c r="B231" s="34">
        <v>1274</v>
      </c>
      <c r="C231" s="34" t="s">
        <v>1242</v>
      </c>
      <c r="D231" s="41">
        <v>45828</v>
      </c>
      <c r="E231" s="34" t="s">
        <v>42</v>
      </c>
      <c r="F231" s="34" t="s">
        <v>1280</v>
      </c>
      <c r="G231" s="34">
        <v>2690743</v>
      </c>
      <c r="H231" s="34"/>
      <c r="I231" s="34" t="s">
        <v>1281</v>
      </c>
      <c r="J231" s="47" t="s">
        <v>34</v>
      </c>
      <c r="K231" s="34" t="s">
        <v>1299</v>
      </c>
      <c r="L231" s="156"/>
      <c r="M231" s="151"/>
      <c r="N231" s="151"/>
      <c r="O231" s="151"/>
      <c r="P231" s="151"/>
      <c r="Q231" s="151"/>
      <c r="R231" s="1"/>
      <c r="T231" s="1"/>
      <c r="U231" s="1"/>
      <c r="V231" s="1"/>
      <c r="W231" s="1"/>
    </row>
    <row r="232" spans="1:23" ht="14.25" customHeight="1">
      <c r="A232" s="34">
        <v>923</v>
      </c>
      <c r="B232" s="34">
        <v>1260</v>
      </c>
      <c r="C232" s="34" t="s">
        <v>1242</v>
      </c>
      <c r="D232" s="41">
        <v>45827</v>
      </c>
      <c r="E232" s="34" t="s">
        <v>19</v>
      </c>
      <c r="F232" s="34" t="s">
        <v>1278</v>
      </c>
      <c r="G232" s="34" t="s">
        <v>1279</v>
      </c>
      <c r="H232" s="34"/>
      <c r="I232" s="34" t="s">
        <v>1248</v>
      </c>
      <c r="J232" s="47" t="s">
        <v>34</v>
      </c>
      <c r="K232" s="34" t="s">
        <v>820</v>
      </c>
      <c r="L232" s="156"/>
      <c r="M232" s="151"/>
      <c r="N232" s="151"/>
      <c r="O232" s="151"/>
      <c r="P232" s="151"/>
      <c r="Q232" s="151"/>
      <c r="R232" s="1"/>
      <c r="T232" s="1"/>
      <c r="U232" s="1"/>
      <c r="V232" s="1"/>
      <c r="W232" s="1"/>
    </row>
    <row r="233" spans="1:23" ht="15" customHeight="1">
      <c r="A233" s="34">
        <v>922</v>
      </c>
      <c r="B233" s="72"/>
      <c r="C233" s="34" t="s">
        <v>1276</v>
      </c>
      <c r="D233" s="41">
        <v>45825</v>
      </c>
      <c r="E233" s="34" t="s">
        <v>19</v>
      </c>
      <c r="F233" s="34" t="s">
        <v>211</v>
      </c>
      <c r="G233" s="34" t="s">
        <v>1277</v>
      </c>
      <c r="H233" s="34"/>
      <c r="I233" s="34"/>
      <c r="J233" s="47" t="s">
        <v>34</v>
      </c>
      <c r="K233" s="34" t="s">
        <v>820</v>
      </c>
      <c r="L233" s="156"/>
      <c r="M233" s="151"/>
      <c r="N233" s="151"/>
      <c r="O233" s="151"/>
      <c r="P233" s="151"/>
      <c r="Q233" s="151"/>
      <c r="R233" s="1"/>
      <c r="T233" s="1"/>
      <c r="U233" s="1"/>
      <c r="V233" s="1"/>
      <c r="W233" s="1"/>
    </row>
    <row r="234" spans="1:23" ht="15" customHeight="1">
      <c r="A234" s="34" t="s">
        <v>1287</v>
      </c>
      <c r="B234" s="40">
        <v>1263</v>
      </c>
      <c r="C234" s="34" t="s">
        <v>1274</v>
      </c>
      <c r="D234" s="41">
        <v>45825</v>
      </c>
      <c r="E234" s="34"/>
      <c r="F234" s="34"/>
      <c r="G234" s="34"/>
      <c r="H234" s="34"/>
      <c r="I234" s="34"/>
      <c r="J234" s="47" t="s">
        <v>34</v>
      </c>
      <c r="K234" s="34" t="s">
        <v>1299</v>
      </c>
      <c r="L234" s="156"/>
      <c r="M234" s="151"/>
      <c r="N234" s="151"/>
      <c r="O234" s="151"/>
      <c r="P234" s="151"/>
      <c r="Q234" s="151"/>
      <c r="R234" s="1"/>
      <c r="T234" s="1"/>
      <c r="U234" s="1"/>
      <c r="V234" s="1"/>
      <c r="W234" s="1"/>
    </row>
    <row r="235" spans="1:23" ht="15" customHeight="1">
      <c r="A235" s="34" t="s">
        <v>1286</v>
      </c>
      <c r="B235" s="34">
        <v>1262</v>
      </c>
      <c r="C235" s="34" t="s">
        <v>1274</v>
      </c>
      <c r="D235" s="41">
        <v>45825</v>
      </c>
      <c r="E235" s="34" t="s">
        <v>638</v>
      </c>
      <c r="F235" s="34" t="s">
        <v>1275</v>
      </c>
      <c r="G235" s="34">
        <v>155901884</v>
      </c>
      <c r="H235" s="34"/>
      <c r="I235" s="34"/>
      <c r="J235" s="47" t="s">
        <v>34</v>
      </c>
      <c r="K235" s="34" t="s">
        <v>820</v>
      </c>
      <c r="L235" s="156"/>
      <c r="M235" s="151"/>
      <c r="N235" s="151"/>
      <c r="O235" s="151"/>
      <c r="P235" s="151"/>
      <c r="Q235" s="151"/>
      <c r="R235" s="1"/>
      <c r="T235" s="1"/>
      <c r="U235" s="1"/>
      <c r="V235" s="1"/>
      <c r="W235" s="1"/>
    </row>
    <row r="236" spans="1:23" ht="15" customHeight="1">
      <c r="A236" s="34">
        <v>920</v>
      </c>
      <c r="B236" s="34">
        <v>1256</v>
      </c>
      <c r="C236" s="34" t="s">
        <v>1269</v>
      </c>
      <c r="D236" s="41">
        <v>45821</v>
      </c>
      <c r="E236" s="34" t="s">
        <v>25</v>
      </c>
      <c r="F236" s="34" t="s">
        <v>1270</v>
      </c>
      <c r="G236" s="34" t="s">
        <v>1271</v>
      </c>
      <c r="H236" s="34" t="s">
        <v>1272</v>
      </c>
      <c r="I236" s="36" t="s">
        <v>1273</v>
      </c>
      <c r="J236" s="47" t="s">
        <v>34</v>
      </c>
      <c r="K236" s="34" t="s">
        <v>820</v>
      </c>
      <c r="L236" s="156"/>
      <c r="M236" s="151"/>
      <c r="N236" s="151"/>
      <c r="O236" s="151"/>
      <c r="P236" s="151"/>
      <c r="Q236" s="151"/>
      <c r="R236" s="1"/>
      <c r="T236" s="1"/>
      <c r="U236" s="1"/>
      <c r="V236" s="1"/>
      <c r="W236" s="1"/>
    </row>
    <row r="237" spans="1:23" ht="15" customHeight="1">
      <c r="A237" s="34">
        <v>919</v>
      </c>
      <c r="B237" s="40" t="s">
        <v>13</v>
      </c>
      <c r="C237" s="34" t="s">
        <v>1264</v>
      </c>
      <c r="D237" s="41">
        <v>45821</v>
      </c>
      <c r="E237" s="34" t="s">
        <v>25</v>
      </c>
      <c r="F237" s="34" t="s">
        <v>1265</v>
      </c>
      <c r="G237" s="34" t="s">
        <v>1266</v>
      </c>
      <c r="H237" s="34" t="s">
        <v>1267</v>
      </c>
      <c r="I237" s="36" t="s">
        <v>1268</v>
      </c>
      <c r="J237" s="47" t="s">
        <v>34</v>
      </c>
      <c r="K237" s="34" t="s">
        <v>1299</v>
      </c>
      <c r="L237" s="156"/>
      <c r="M237" s="151"/>
      <c r="N237" s="151"/>
      <c r="O237" s="151"/>
      <c r="P237" s="151"/>
      <c r="Q237" s="151"/>
      <c r="R237" s="1"/>
      <c r="T237" s="1"/>
      <c r="U237" s="1"/>
      <c r="V237" s="1"/>
      <c r="W237" s="1"/>
    </row>
    <row r="238" spans="1:23" ht="15" customHeight="1">
      <c r="A238" s="34" t="s">
        <v>1254</v>
      </c>
      <c r="B238" s="34">
        <v>1254</v>
      </c>
      <c r="C238" s="34" t="s">
        <v>1255</v>
      </c>
      <c r="D238" s="41">
        <v>45820</v>
      </c>
      <c r="E238" s="34" t="s">
        <v>19</v>
      </c>
      <c r="F238" s="34" t="s">
        <v>1257</v>
      </c>
      <c r="G238" s="34" t="s">
        <v>1259</v>
      </c>
      <c r="H238" s="34" t="s">
        <v>1261</v>
      </c>
      <c r="I238" s="36" t="s">
        <v>1263</v>
      </c>
      <c r="J238" s="47" t="s">
        <v>34</v>
      </c>
      <c r="K238" s="34" t="s">
        <v>820</v>
      </c>
      <c r="L238" s="156"/>
      <c r="M238" s="151"/>
      <c r="N238" s="151"/>
      <c r="O238" s="151"/>
      <c r="P238" s="151"/>
      <c r="Q238" s="151"/>
      <c r="R238" s="1"/>
      <c r="T238" s="1"/>
      <c r="U238" s="1"/>
      <c r="V238" s="1"/>
      <c r="W238" s="1"/>
    </row>
    <row r="239" spans="1:23" ht="15" customHeight="1">
      <c r="A239" s="34" t="s">
        <v>1253</v>
      </c>
      <c r="B239" s="34">
        <v>1253</v>
      </c>
      <c r="C239" s="34" t="s">
        <v>1255</v>
      </c>
      <c r="D239" s="41">
        <v>45820</v>
      </c>
      <c r="E239" s="34" t="s">
        <v>19</v>
      </c>
      <c r="F239" s="34" t="s">
        <v>1256</v>
      </c>
      <c r="G239" s="34" t="s">
        <v>1258</v>
      </c>
      <c r="H239" s="34" t="s">
        <v>1260</v>
      </c>
      <c r="I239" s="36" t="s">
        <v>1262</v>
      </c>
      <c r="J239" s="47" t="s">
        <v>34</v>
      </c>
      <c r="K239" s="34" t="s">
        <v>820</v>
      </c>
      <c r="L239" s="156"/>
      <c r="M239" s="151"/>
      <c r="N239" s="151"/>
      <c r="O239" s="151"/>
      <c r="P239" s="151"/>
      <c r="Q239" s="151"/>
      <c r="R239" s="1"/>
      <c r="T239" s="1"/>
      <c r="U239" s="1"/>
      <c r="V239" s="1"/>
      <c r="W239" s="1"/>
    </row>
    <row r="240" spans="1:23" ht="15" customHeight="1">
      <c r="A240" s="34" t="s">
        <v>1250</v>
      </c>
      <c r="B240" s="34"/>
      <c r="C240" s="34" t="s">
        <v>1242</v>
      </c>
      <c r="D240" s="41">
        <v>45818</v>
      </c>
      <c r="E240" s="34" t="s">
        <v>25</v>
      </c>
      <c r="F240" s="34"/>
      <c r="G240" s="34"/>
      <c r="H240" s="34" t="s">
        <v>1251</v>
      </c>
      <c r="I240" s="36" t="s">
        <v>1252</v>
      </c>
      <c r="J240" s="47" t="s">
        <v>34</v>
      </c>
      <c r="K240" s="34" t="s">
        <v>820</v>
      </c>
      <c r="L240" s="156"/>
      <c r="M240" s="151"/>
      <c r="N240" s="151"/>
      <c r="O240" s="151"/>
      <c r="P240" s="151"/>
      <c r="Q240" s="151"/>
      <c r="R240" s="1"/>
      <c r="T240" s="1"/>
      <c r="U240" s="1"/>
      <c r="V240" s="1"/>
      <c r="W240" s="1"/>
    </row>
    <row r="241" spans="1:23" ht="15" customHeight="1">
      <c r="A241" s="34" t="s">
        <v>1249</v>
      </c>
      <c r="B241" s="34"/>
      <c r="C241" s="34" t="s">
        <v>1242</v>
      </c>
      <c r="D241" s="41">
        <v>45818</v>
      </c>
      <c r="E241" s="34" t="s">
        <v>25</v>
      </c>
      <c r="F241" s="34"/>
      <c r="G241" s="34"/>
      <c r="H241" s="34" t="s">
        <v>1251</v>
      </c>
      <c r="I241" s="36" t="s">
        <v>1252</v>
      </c>
      <c r="J241" s="47" t="s">
        <v>34</v>
      </c>
      <c r="K241" s="34" t="s">
        <v>820</v>
      </c>
      <c r="L241" s="156"/>
      <c r="M241" s="151"/>
      <c r="N241" s="151"/>
      <c r="O241" s="151"/>
      <c r="P241" s="151"/>
      <c r="Q241" s="151"/>
      <c r="R241" s="1"/>
      <c r="T241" s="1"/>
      <c r="U241" s="1"/>
      <c r="V241" s="1"/>
      <c r="W241" s="1"/>
    </row>
    <row r="242" spans="1:23" ht="15" customHeight="1">
      <c r="A242" s="34" t="s">
        <v>1241</v>
      </c>
      <c r="B242" s="34">
        <v>1251</v>
      </c>
      <c r="C242" s="34" t="s">
        <v>1242</v>
      </c>
      <c r="D242" s="41">
        <v>45818</v>
      </c>
      <c r="E242" s="34" t="s">
        <v>25</v>
      </c>
      <c r="F242" s="34" t="s">
        <v>145</v>
      </c>
      <c r="G242" s="34" t="s">
        <v>119</v>
      </c>
      <c r="H242" s="34" t="s">
        <v>910</v>
      </c>
      <c r="I242" s="36" t="s">
        <v>1248</v>
      </c>
      <c r="J242" s="47" t="s">
        <v>34</v>
      </c>
      <c r="K242" s="34" t="s">
        <v>820</v>
      </c>
      <c r="L242" s="156"/>
      <c r="M242" s="151"/>
      <c r="N242" s="151"/>
      <c r="O242" s="151"/>
      <c r="P242" s="151"/>
      <c r="Q242" s="151"/>
      <c r="R242" s="1"/>
      <c r="T242" s="1"/>
      <c r="U242" s="1"/>
      <c r="V242" s="1"/>
      <c r="W242" s="1"/>
    </row>
    <row r="243" spans="1:23" ht="15" customHeight="1">
      <c r="A243" s="34" t="s">
        <v>1240</v>
      </c>
      <c r="B243" s="34">
        <v>1250</v>
      </c>
      <c r="C243" s="34" t="s">
        <v>1242</v>
      </c>
      <c r="D243" s="41">
        <v>45818</v>
      </c>
      <c r="E243" s="34" t="s">
        <v>25</v>
      </c>
      <c r="F243" s="34" t="s">
        <v>359</v>
      </c>
      <c r="G243" s="34" t="s">
        <v>1245</v>
      </c>
      <c r="H243" s="34" t="s">
        <v>910</v>
      </c>
      <c r="I243" s="36" t="s">
        <v>1247</v>
      </c>
      <c r="J243" s="47" t="s">
        <v>34</v>
      </c>
      <c r="K243" s="34" t="s">
        <v>820</v>
      </c>
      <c r="L243" s="156"/>
      <c r="M243" s="151"/>
      <c r="N243" s="151"/>
      <c r="O243" s="151"/>
      <c r="P243" s="151"/>
      <c r="Q243" s="151"/>
      <c r="R243" s="1"/>
      <c r="T243" s="1"/>
      <c r="U243" s="1"/>
      <c r="V243" s="1"/>
      <c r="W243" s="1"/>
    </row>
    <row r="244" spans="1:23" ht="15" customHeight="1">
      <c r="A244" s="34" t="s">
        <v>1239</v>
      </c>
      <c r="B244" s="34">
        <v>1249</v>
      </c>
      <c r="C244" s="34" t="s">
        <v>1242</v>
      </c>
      <c r="D244" s="41">
        <v>45818</v>
      </c>
      <c r="E244" s="34" t="s">
        <v>25</v>
      </c>
      <c r="F244" s="34" t="s">
        <v>145</v>
      </c>
      <c r="G244" s="34" t="s">
        <v>115</v>
      </c>
      <c r="H244" s="34" t="s">
        <v>910</v>
      </c>
      <c r="I244" s="36" t="s">
        <v>40</v>
      </c>
      <c r="J244" s="47" t="s">
        <v>34</v>
      </c>
      <c r="K244" s="34" t="s">
        <v>820</v>
      </c>
      <c r="L244" s="156"/>
      <c r="M244" s="151"/>
      <c r="N244" s="151"/>
      <c r="O244" s="151"/>
      <c r="P244" s="151"/>
      <c r="Q244" s="151"/>
      <c r="R244" s="1"/>
      <c r="T244" s="1"/>
      <c r="U244" s="1"/>
      <c r="V244" s="1"/>
      <c r="W244" s="1"/>
    </row>
    <row r="245" spans="1:23" ht="15" customHeight="1">
      <c r="A245" s="34" t="s">
        <v>1238</v>
      </c>
      <c r="B245" s="34">
        <v>1248</v>
      </c>
      <c r="C245" s="34" t="s">
        <v>1242</v>
      </c>
      <c r="D245" s="41">
        <v>45818</v>
      </c>
      <c r="E245" s="34" t="s">
        <v>25</v>
      </c>
      <c r="F245" s="34" t="s">
        <v>359</v>
      </c>
      <c r="G245" s="34" t="s">
        <v>1244</v>
      </c>
      <c r="H245" s="34" t="s">
        <v>910</v>
      </c>
      <c r="I245" s="36" t="s">
        <v>40</v>
      </c>
      <c r="J245" s="47" t="s">
        <v>34</v>
      </c>
      <c r="K245" s="34" t="s">
        <v>820</v>
      </c>
      <c r="L245" s="156"/>
      <c r="M245" s="151"/>
      <c r="N245" s="151"/>
      <c r="O245" s="151"/>
      <c r="P245" s="151"/>
      <c r="Q245" s="151"/>
      <c r="R245" s="1"/>
      <c r="T245" s="1"/>
      <c r="U245" s="1"/>
      <c r="V245" s="1"/>
      <c r="W245" s="1"/>
    </row>
    <row r="246" spans="1:23" ht="15" customHeight="1">
      <c r="A246" s="34" t="s">
        <v>1237</v>
      </c>
      <c r="B246" s="34">
        <v>1255</v>
      </c>
      <c r="C246" s="34" t="s">
        <v>1242</v>
      </c>
      <c r="D246" s="41">
        <v>45818</v>
      </c>
      <c r="E246" s="34" t="s">
        <v>25</v>
      </c>
      <c r="F246" s="34" t="s">
        <v>1243</v>
      </c>
      <c r="G246" s="34" t="s">
        <v>826</v>
      </c>
      <c r="H246" s="34" t="s">
        <v>910</v>
      </c>
      <c r="I246" s="36" t="s">
        <v>1246</v>
      </c>
      <c r="J246" s="47" t="s">
        <v>34</v>
      </c>
      <c r="K246" s="34" t="s">
        <v>820</v>
      </c>
      <c r="L246" s="156"/>
      <c r="M246" s="151"/>
      <c r="N246" s="151"/>
      <c r="O246" s="151"/>
      <c r="P246" s="151"/>
      <c r="Q246" s="151"/>
      <c r="R246" s="1"/>
      <c r="T246" s="1"/>
      <c r="U246" s="1"/>
      <c r="V246" s="1"/>
      <c r="W246" s="1"/>
    </row>
    <row r="247" spans="1:23" ht="15" customHeight="1">
      <c r="A247" s="34">
        <v>914</v>
      </c>
      <c r="B247" s="34">
        <v>1247</v>
      </c>
      <c r="C247" s="34" t="s">
        <v>1233</v>
      </c>
      <c r="D247" s="41">
        <v>45818</v>
      </c>
      <c r="E247" s="34" t="s">
        <v>25</v>
      </c>
      <c r="F247" s="34" t="s">
        <v>300</v>
      </c>
      <c r="G247" s="34" t="s">
        <v>1234</v>
      </c>
      <c r="H247" s="34" t="s">
        <v>1235</v>
      </c>
      <c r="I247" s="36" t="s">
        <v>1236</v>
      </c>
      <c r="J247" s="47" t="s">
        <v>34</v>
      </c>
      <c r="K247" s="34" t="s">
        <v>820</v>
      </c>
      <c r="L247" s="156"/>
      <c r="M247" s="151"/>
      <c r="N247" s="151"/>
      <c r="O247" s="151"/>
      <c r="P247" s="151"/>
      <c r="Q247" s="151"/>
      <c r="R247" s="1"/>
      <c r="T247" s="1"/>
      <c r="U247" s="1"/>
      <c r="V247" s="1"/>
      <c r="W247" s="1"/>
    </row>
    <row r="248" spans="1:23" ht="15" customHeight="1">
      <c r="A248" s="34">
        <v>913</v>
      </c>
      <c r="B248" s="34">
        <v>1252</v>
      </c>
      <c r="C248" s="34" t="s">
        <v>1230</v>
      </c>
      <c r="D248" s="41">
        <v>45817</v>
      </c>
      <c r="E248" s="34" t="s">
        <v>88</v>
      </c>
      <c r="F248" s="34" t="s">
        <v>1231</v>
      </c>
      <c r="G248" s="34" t="s">
        <v>826</v>
      </c>
      <c r="H248" s="34" t="s">
        <v>1178</v>
      </c>
      <c r="I248" s="36" t="s">
        <v>1232</v>
      </c>
      <c r="J248" s="47" t="s">
        <v>34</v>
      </c>
      <c r="K248" s="34" t="s">
        <v>820</v>
      </c>
      <c r="L248" s="156"/>
      <c r="M248" s="151"/>
      <c r="N248" s="151"/>
      <c r="O248" s="151"/>
      <c r="P248" s="151"/>
      <c r="Q248" s="151"/>
      <c r="R248" s="1"/>
      <c r="T248" s="1"/>
      <c r="U248" s="1"/>
      <c r="V248" s="1"/>
      <c r="W248" s="1"/>
    </row>
    <row r="249" spans="1:23" ht="15" customHeight="1">
      <c r="A249" s="34">
        <v>912</v>
      </c>
      <c r="B249" s="34">
        <v>1256</v>
      </c>
      <c r="C249" s="34" t="s">
        <v>1225</v>
      </c>
      <c r="D249" s="41">
        <v>45817</v>
      </c>
      <c r="E249" s="34" t="s">
        <v>25</v>
      </c>
      <c r="F249" s="34" t="s">
        <v>1226</v>
      </c>
      <c r="G249" s="34" t="s">
        <v>1227</v>
      </c>
      <c r="H249" s="34" t="s">
        <v>1228</v>
      </c>
      <c r="I249" s="36" t="s">
        <v>1229</v>
      </c>
      <c r="J249" s="47" t="s">
        <v>34</v>
      </c>
      <c r="K249" s="34" t="s">
        <v>820</v>
      </c>
      <c r="L249" s="156"/>
      <c r="M249" s="151"/>
      <c r="N249" s="151"/>
      <c r="O249" s="151"/>
      <c r="P249" s="151"/>
      <c r="Q249" s="151"/>
      <c r="R249" s="1"/>
      <c r="T249" s="1"/>
      <c r="U249" s="1"/>
      <c r="V249" s="1"/>
      <c r="W249" s="1"/>
    </row>
    <row r="250" spans="1:23" ht="15" customHeight="1">
      <c r="A250" s="34" t="s">
        <v>1216</v>
      </c>
      <c r="B250" s="34">
        <v>1246</v>
      </c>
      <c r="C250" s="34" t="s">
        <v>1217</v>
      </c>
      <c r="D250" s="41">
        <v>45810</v>
      </c>
      <c r="E250" s="34" t="s">
        <v>19</v>
      </c>
      <c r="F250" s="34" t="s">
        <v>1218</v>
      </c>
      <c r="G250" s="34" t="s">
        <v>1220</v>
      </c>
      <c r="H250" s="34" t="s">
        <v>1222</v>
      </c>
      <c r="I250" s="36" t="s">
        <v>1223</v>
      </c>
      <c r="J250" s="47" t="s">
        <v>34</v>
      </c>
      <c r="K250" s="34" t="s">
        <v>820</v>
      </c>
      <c r="L250" s="156"/>
      <c r="M250" s="151"/>
      <c r="N250" s="151"/>
      <c r="O250" s="151"/>
      <c r="P250" s="151"/>
      <c r="Q250" s="151"/>
      <c r="R250" s="1"/>
      <c r="T250" s="1"/>
      <c r="U250" s="1"/>
      <c r="V250" s="1"/>
      <c r="W250" s="1"/>
    </row>
    <row r="251" spans="1:23" ht="15" customHeight="1">
      <c r="A251" s="34" t="s">
        <v>1215</v>
      </c>
      <c r="B251" s="34">
        <v>1245</v>
      </c>
      <c r="C251" s="34" t="s">
        <v>1217</v>
      </c>
      <c r="D251" s="41">
        <v>45810</v>
      </c>
      <c r="E251" s="34" t="s">
        <v>19</v>
      </c>
      <c r="F251" s="34" t="s">
        <v>123</v>
      </c>
      <c r="G251" s="34" t="s">
        <v>1219</v>
      </c>
      <c r="H251" s="34" t="s">
        <v>1221</v>
      </c>
      <c r="I251" s="36" t="s">
        <v>1224</v>
      </c>
      <c r="J251" s="47" t="s">
        <v>34</v>
      </c>
      <c r="K251" s="34" t="s">
        <v>820</v>
      </c>
      <c r="L251" s="156"/>
      <c r="M251" s="151"/>
      <c r="N251" s="151"/>
      <c r="O251" s="151"/>
      <c r="P251" s="151"/>
      <c r="Q251" s="151"/>
      <c r="R251" s="1"/>
      <c r="T251" s="1"/>
      <c r="U251" s="1"/>
      <c r="V251" s="1"/>
      <c r="W251" s="1"/>
    </row>
    <row r="252" spans="1:23" ht="15" customHeight="1">
      <c r="A252" s="34">
        <v>910</v>
      </c>
      <c r="B252" s="34">
        <v>1244</v>
      </c>
      <c r="C252" s="34" t="s">
        <v>751</v>
      </c>
      <c r="D252" s="41">
        <v>45808</v>
      </c>
      <c r="E252" s="34" t="s">
        <v>25</v>
      </c>
      <c r="F252" s="34" t="s">
        <v>227</v>
      </c>
      <c r="G252" s="34" t="s">
        <v>1213</v>
      </c>
      <c r="H252" s="34" t="s">
        <v>910</v>
      </c>
      <c r="I252" s="36" t="s">
        <v>1214</v>
      </c>
      <c r="J252" s="47" t="s">
        <v>34</v>
      </c>
      <c r="K252" s="34" t="s">
        <v>820</v>
      </c>
      <c r="L252" s="156"/>
      <c r="M252" s="151"/>
      <c r="N252" s="151"/>
      <c r="O252" s="151"/>
      <c r="P252" s="151"/>
      <c r="Q252" s="151"/>
      <c r="R252" s="1"/>
      <c r="T252" s="1"/>
      <c r="U252" s="1"/>
      <c r="V252" s="1"/>
      <c r="W252" s="1"/>
    </row>
    <row r="253" spans="1:23" ht="15.75" customHeight="1">
      <c r="A253" s="34">
        <v>909</v>
      </c>
      <c r="B253" s="34">
        <v>1243</v>
      </c>
      <c r="C253" s="34" t="s">
        <v>1210</v>
      </c>
      <c r="D253" s="41">
        <v>45806</v>
      </c>
      <c r="E253" s="34" t="s">
        <v>25</v>
      </c>
      <c r="F253" s="34" t="s">
        <v>1109</v>
      </c>
      <c r="G253" s="34" t="s">
        <v>1211</v>
      </c>
      <c r="H253" s="34" t="s">
        <v>910</v>
      </c>
      <c r="I253" s="36" t="s">
        <v>1212</v>
      </c>
      <c r="J253" s="47" t="s">
        <v>34</v>
      </c>
      <c r="K253" s="34" t="s">
        <v>820</v>
      </c>
      <c r="L253" s="156"/>
      <c r="M253" s="151"/>
      <c r="N253" s="151"/>
      <c r="O253" s="151"/>
      <c r="P253" s="151"/>
      <c r="Q253" s="151"/>
      <c r="R253" s="1"/>
      <c r="T253" s="1"/>
      <c r="U253" s="1"/>
      <c r="V253" s="1"/>
      <c r="W253" s="1"/>
    </row>
    <row r="254" spans="1:23" ht="15.75" customHeight="1">
      <c r="A254" s="34">
        <v>908</v>
      </c>
      <c r="B254" s="34">
        <v>1241</v>
      </c>
      <c r="C254" s="34" t="s">
        <v>58</v>
      </c>
      <c r="D254" s="41">
        <v>45805</v>
      </c>
      <c r="E254" s="34" t="s">
        <v>25</v>
      </c>
      <c r="F254" s="34" t="s">
        <v>337</v>
      </c>
      <c r="G254" s="34" t="s">
        <v>1208</v>
      </c>
      <c r="H254" s="34" t="s">
        <v>671</v>
      </c>
      <c r="I254" s="36" t="s">
        <v>1209</v>
      </c>
      <c r="J254" s="47" t="s">
        <v>34</v>
      </c>
      <c r="K254" s="34" t="s">
        <v>820</v>
      </c>
      <c r="L254" s="156"/>
      <c r="M254" s="151"/>
      <c r="N254" s="151"/>
      <c r="O254" s="151"/>
      <c r="P254" s="151"/>
      <c r="Q254" s="151"/>
      <c r="R254" s="1"/>
      <c r="T254" s="1"/>
      <c r="U254" s="1"/>
      <c r="V254" s="1"/>
      <c r="W254" s="1"/>
    </row>
    <row r="255" spans="1:23" ht="15" customHeight="1">
      <c r="A255" s="34" t="s">
        <v>1196</v>
      </c>
      <c r="B255" s="34"/>
      <c r="C255" s="34" t="s">
        <v>1197</v>
      </c>
      <c r="D255" s="41">
        <v>45804</v>
      </c>
      <c r="E255" s="34" t="s">
        <v>19</v>
      </c>
      <c r="F255" s="34" t="s">
        <v>513</v>
      </c>
      <c r="G255" s="34" t="s">
        <v>1198</v>
      </c>
      <c r="H255" s="34" t="s">
        <v>910</v>
      </c>
      <c r="I255" s="36" t="s">
        <v>1203</v>
      </c>
      <c r="J255" s="47" t="s">
        <v>34</v>
      </c>
      <c r="K255" s="34" t="s">
        <v>142</v>
      </c>
      <c r="L255" s="156"/>
      <c r="M255" s="151"/>
      <c r="N255" s="151"/>
      <c r="O255" s="151"/>
      <c r="P255" s="151"/>
      <c r="Q255" s="151"/>
      <c r="R255" s="1"/>
      <c r="T255" s="1"/>
      <c r="U255" s="1"/>
      <c r="V255" s="1"/>
      <c r="W255" s="1"/>
    </row>
    <row r="256" spans="1:23" ht="15" customHeight="1">
      <c r="A256" s="34" t="s">
        <v>1195</v>
      </c>
      <c r="B256" s="34"/>
      <c r="C256" s="34" t="s">
        <v>1197</v>
      </c>
      <c r="D256" s="41">
        <v>45804</v>
      </c>
      <c r="E256" s="34" t="s">
        <v>19</v>
      </c>
      <c r="F256" s="34" t="s">
        <v>373</v>
      </c>
      <c r="G256" s="34" t="s">
        <v>1199</v>
      </c>
      <c r="H256" s="34" t="s">
        <v>910</v>
      </c>
      <c r="I256" s="36" t="s">
        <v>1204</v>
      </c>
      <c r="J256" s="47" t="s">
        <v>34</v>
      </c>
      <c r="K256" s="34" t="s">
        <v>142</v>
      </c>
      <c r="L256" s="156"/>
      <c r="M256" s="151"/>
      <c r="N256" s="151"/>
      <c r="O256" s="151"/>
      <c r="P256" s="151"/>
      <c r="Q256" s="151"/>
      <c r="R256" s="1"/>
      <c r="T256" s="1"/>
      <c r="U256" s="1"/>
      <c r="V256" s="1"/>
      <c r="W256" s="1"/>
    </row>
    <row r="257" spans="1:23" ht="15" customHeight="1">
      <c r="A257" s="34" t="s">
        <v>1194</v>
      </c>
      <c r="B257" s="34"/>
      <c r="C257" s="34" t="s">
        <v>1197</v>
      </c>
      <c r="D257" s="41">
        <v>45804</v>
      </c>
      <c r="E257" s="34" t="s">
        <v>19</v>
      </c>
      <c r="F257" s="34" t="s">
        <v>373</v>
      </c>
      <c r="G257" s="34" t="s">
        <v>1200</v>
      </c>
      <c r="H257" s="34" t="s">
        <v>910</v>
      </c>
      <c r="I257" s="36" t="s">
        <v>1205</v>
      </c>
      <c r="J257" s="47" t="s">
        <v>34</v>
      </c>
      <c r="K257" s="34" t="s">
        <v>142</v>
      </c>
      <c r="L257" s="156"/>
      <c r="M257" s="151"/>
      <c r="N257" s="151"/>
      <c r="O257" s="151"/>
      <c r="P257" s="151"/>
      <c r="Q257" s="151"/>
      <c r="R257" s="1"/>
      <c r="T257" s="1"/>
      <c r="U257" s="1"/>
      <c r="V257" s="1"/>
      <c r="W257" s="1"/>
    </row>
    <row r="258" spans="1:23" ht="15" customHeight="1">
      <c r="A258" s="34" t="s">
        <v>1193</v>
      </c>
      <c r="B258" s="34"/>
      <c r="C258" s="34" t="s">
        <v>1197</v>
      </c>
      <c r="D258" s="41">
        <v>45804</v>
      </c>
      <c r="E258" s="34" t="s">
        <v>19</v>
      </c>
      <c r="F258" s="34" t="s">
        <v>20</v>
      </c>
      <c r="G258" s="34" t="s">
        <v>1201</v>
      </c>
      <c r="H258" s="34" t="s">
        <v>910</v>
      </c>
      <c r="I258" s="36" t="s">
        <v>1206</v>
      </c>
      <c r="J258" s="47" t="s">
        <v>34</v>
      </c>
      <c r="K258" s="34" t="s">
        <v>142</v>
      </c>
      <c r="L258" s="156"/>
      <c r="M258" s="151"/>
      <c r="N258" s="151"/>
      <c r="O258" s="151"/>
      <c r="P258" s="151"/>
      <c r="Q258" s="151"/>
      <c r="R258" s="1"/>
      <c r="T258" s="1"/>
      <c r="U258" s="1"/>
      <c r="V258" s="1"/>
      <c r="W258" s="1"/>
    </row>
    <row r="259" spans="1:23" ht="15" customHeight="1">
      <c r="A259" s="34" t="s">
        <v>1192</v>
      </c>
      <c r="B259" s="34"/>
      <c r="C259" s="34" t="s">
        <v>1197</v>
      </c>
      <c r="D259" s="41">
        <v>45804</v>
      </c>
      <c r="E259" s="34" t="s">
        <v>19</v>
      </c>
      <c r="F259" s="34" t="s">
        <v>211</v>
      </c>
      <c r="G259" s="34" t="s">
        <v>1202</v>
      </c>
      <c r="H259" s="34" t="s">
        <v>910</v>
      </c>
      <c r="I259" s="36" t="s">
        <v>1207</v>
      </c>
      <c r="J259" s="47" t="s">
        <v>34</v>
      </c>
      <c r="K259" s="34" t="s">
        <v>142</v>
      </c>
      <c r="L259" s="156"/>
      <c r="M259" s="151"/>
      <c r="N259" s="151"/>
      <c r="O259" s="151"/>
      <c r="P259" s="151"/>
      <c r="Q259" s="151"/>
      <c r="R259" s="1"/>
      <c r="T259" s="1"/>
      <c r="U259" s="1"/>
      <c r="V259" s="1"/>
      <c r="W259" s="1"/>
    </row>
    <row r="260" spans="1:23" ht="15" customHeight="1">
      <c r="A260" s="34">
        <v>906</v>
      </c>
      <c r="B260" s="34">
        <v>1239</v>
      </c>
      <c r="C260" s="34" t="s">
        <v>562</v>
      </c>
      <c r="D260" s="41">
        <v>45799</v>
      </c>
      <c r="E260" s="34" t="s">
        <v>25</v>
      </c>
      <c r="F260" s="34" t="s">
        <v>1189</v>
      </c>
      <c r="G260" s="34" t="s">
        <v>826</v>
      </c>
      <c r="H260" s="34" t="s">
        <v>1190</v>
      </c>
      <c r="I260" s="36" t="s">
        <v>1191</v>
      </c>
      <c r="J260" s="47" t="s">
        <v>34</v>
      </c>
      <c r="K260" s="34" t="s">
        <v>820</v>
      </c>
      <c r="L260" s="156"/>
      <c r="M260" s="151"/>
      <c r="N260" s="151"/>
      <c r="O260" s="151"/>
      <c r="P260" s="151"/>
      <c r="Q260" s="151"/>
      <c r="R260" s="1"/>
      <c r="T260" s="1"/>
      <c r="U260" s="1"/>
      <c r="V260" s="1"/>
      <c r="W260" s="1"/>
    </row>
    <row r="261" spans="1:23" ht="15" customHeight="1">
      <c r="A261" s="34">
        <v>905</v>
      </c>
      <c r="B261" s="34">
        <v>1238</v>
      </c>
      <c r="C261" s="34" t="s">
        <v>259</v>
      </c>
      <c r="D261" s="41">
        <v>45799</v>
      </c>
      <c r="E261" s="34" t="s">
        <v>25</v>
      </c>
      <c r="F261" s="34" t="s">
        <v>1186</v>
      </c>
      <c r="G261" s="34" t="s">
        <v>261</v>
      </c>
      <c r="H261" s="34" t="s">
        <v>1187</v>
      </c>
      <c r="I261" s="36" t="s">
        <v>1188</v>
      </c>
      <c r="J261" s="47" t="s">
        <v>34</v>
      </c>
      <c r="K261" s="34" t="s">
        <v>820</v>
      </c>
      <c r="L261" s="156"/>
      <c r="M261" s="151"/>
      <c r="N261" s="151"/>
      <c r="O261" s="151"/>
      <c r="P261" s="151"/>
      <c r="Q261" s="151"/>
      <c r="R261" s="1"/>
      <c r="T261" s="1"/>
      <c r="U261" s="1"/>
      <c r="V261" s="1"/>
      <c r="W261" s="1"/>
    </row>
    <row r="262" spans="1:23" ht="15" customHeight="1">
      <c r="A262" s="34">
        <v>904</v>
      </c>
      <c r="B262" s="34">
        <v>1237</v>
      </c>
      <c r="C262" s="34" t="s">
        <v>1183</v>
      </c>
      <c r="D262" s="41">
        <v>45797</v>
      </c>
      <c r="E262" s="34" t="s">
        <v>25</v>
      </c>
      <c r="F262" s="34" t="s">
        <v>333</v>
      </c>
      <c r="G262" s="34" t="s">
        <v>1184</v>
      </c>
      <c r="H262" s="34" t="s">
        <v>825</v>
      </c>
      <c r="I262" s="36" t="s">
        <v>1185</v>
      </c>
      <c r="J262" s="47" t="s">
        <v>34</v>
      </c>
      <c r="K262" s="34" t="s">
        <v>820</v>
      </c>
      <c r="L262" s="156"/>
      <c r="M262" s="151"/>
      <c r="N262" s="151"/>
      <c r="O262" s="151"/>
      <c r="P262" s="151"/>
      <c r="Q262" s="151"/>
      <c r="R262" s="1"/>
      <c r="T262" s="1"/>
      <c r="U262" s="1"/>
      <c r="V262" s="1"/>
      <c r="W262" s="1"/>
    </row>
    <row r="263" spans="1:23" ht="15" customHeight="1">
      <c r="A263" s="34">
        <v>903</v>
      </c>
      <c r="B263" s="34">
        <v>1234</v>
      </c>
      <c r="C263" s="34" t="s">
        <v>1180</v>
      </c>
      <c r="D263" s="41">
        <v>45791</v>
      </c>
      <c r="E263" s="34" t="s">
        <v>25</v>
      </c>
      <c r="F263" s="34" t="s">
        <v>227</v>
      </c>
      <c r="G263" s="34" t="s">
        <v>1181</v>
      </c>
      <c r="H263" s="34" t="s">
        <v>910</v>
      </c>
      <c r="I263" s="36" t="s">
        <v>1182</v>
      </c>
      <c r="J263" s="47" t="s">
        <v>34</v>
      </c>
      <c r="K263" s="34" t="s">
        <v>1107</v>
      </c>
      <c r="L263" s="156"/>
      <c r="M263" s="151"/>
      <c r="N263" s="151"/>
      <c r="O263" s="151"/>
      <c r="P263" s="151"/>
      <c r="Q263" s="151"/>
      <c r="R263" s="1"/>
      <c r="T263" s="1"/>
      <c r="U263" s="1"/>
      <c r="V263" s="1"/>
      <c r="W263" s="1"/>
    </row>
    <row r="264" spans="1:23" ht="15" customHeight="1">
      <c r="A264" s="34">
        <v>902</v>
      </c>
      <c r="B264" s="34">
        <v>1233</v>
      </c>
      <c r="C264" s="34" t="s">
        <v>1176</v>
      </c>
      <c r="D264" s="41">
        <v>45789</v>
      </c>
      <c r="E264" s="34" t="s">
        <v>954</v>
      </c>
      <c r="F264" s="34" t="s">
        <v>1177</v>
      </c>
      <c r="G264" s="34">
        <v>2018090900</v>
      </c>
      <c r="H264" s="34" t="s">
        <v>1178</v>
      </c>
      <c r="I264" s="36" t="s">
        <v>1179</v>
      </c>
      <c r="J264" s="47" t="s">
        <v>34</v>
      </c>
      <c r="K264" s="34" t="s">
        <v>820</v>
      </c>
      <c r="L264" s="156"/>
      <c r="M264" s="151"/>
      <c r="N264" s="151"/>
      <c r="O264" s="151"/>
      <c r="P264" s="151"/>
      <c r="Q264" s="151"/>
      <c r="R264" s="1"/>
      <c r="T264" s="1"/>
      <c r="U264" s="1"/>
      <c r="V264" s="1"/>
      <c r="W264" s="1"/>
    </row>
    <row r="265" spans="1:23" ht="15" customHeight="1">
      <c r="A265" s="34" t="s">
        <v>1171</v>
      </c>
      <c r="B265" s="34">
        <v>1232</v>
      </c>
      <c r="C265" s="34" t="s">
        <v>1063</v>
      </c>
      <c r="D265" s="41">
        <v>45786</v>
      </c>
      <c r="E265" s="34" t="s">
        <v>25</v>
      </c>
      <c r="F265" s="34" t="s">
        <v>343</v>
      </c>
      <c r="G265" s="34" t="s">
        <v>1173</v>
      </c>
      <c r="H265" s="34" t="s">
        <v>1174</v>
      </c>
      <c r="I265" s="36" t="s">
        <v>1175</v>
      </c>
      <c r="J265" s="47" t="s">
        <v>34</v>
      </c>
      <c r="K265" s="34" t="s">
        <v>820</v>
      </c>
      <c r="L265" s="156"/>
      <c r="M265" s="151"/>
      <c r="N265" s="151"/>
      <c r="O265" s="151"/>
      <c r="P265" s="151"/>
      <c r="Q265" s="151"/>
      <c r="R265" s="1"/>
      <c r="T265" s="1"/>
      <c r="U265" s="1"/>
      <c r="V265" s="1"/>
      <c r="W265" s="1"/>
    </row>
    <row r="266" spans="1:23" ht="15" customHeight="1">
      <c r="A266" s="34" t="s">
        <v>1170</v>
      </c>
      <c r="B266" s="34">
        <v>1231</v>
      </c>
      <c r="C266" s="34" t="s">
        <v>1063</v>
      </c>
      <c r="D266" s="41">
        <v>45786</v>
      </c>
      <c r="E266" s="34" t="s">
        <v>25</v>
      </c>
      <c r="F266" s="34" t="s">
        <v>343</v>
      </c>
      <c r="G266" s="34" t="s">
        <v>1172</v>
      </c>
      <c r="H266" s="34" t="s">
        <v>1174</v>
      </c>
      <c r="I266" s="36" t="s">
        <v>1175</v>
      </c>
      <c r="J266" s="47" t="s">
        <v>34</v>
      </c>
      <c r="K266" s="34" t="s">
        <v>820</v>
      </c>
      <c r="L266" s="156"/>
      <c r="M266" s="151"/>
      <c r="N266" s="151"/>
      <c r="O266" s="151"/>
      <c r="P266" s="151"/>
      <c r="Q266" s="151"/>
      <c r="R266" s="1"/>
      <c r="T266" s="1"/>
      <c r="U266" s="1"/>
      <c r="V266" s="1"/>
      <c r="W266" s="1"/>
    </row>
    <row r="267" spans="1:23" ht="15" customHeight="1">
      <c r="A267" s="34">
        <v>899</v>
      </c>
      <c r="B267" s="40">
        <v>1236</v>
      </c>
      <c r="C267" s="34" t="s">
        <v>1166</v>
      </c>
      <c r="D267" s="41">
        <v>45784</v>
      </c>
      <c r="E267" s="34" t="s">
        <v>25</v>
      </c>
      <c r="F267" s="34" t="s">
        <v>1167</v>
      </c>
      <c r="G267" s="34" t="s">
        <v>1168</v>
      </c>
      <c r="H267" s="34" t="s">
        <v>151</v>
      </c>
      <c r="I267" s="34" t="s">
        <v>1169</v>
      </c>
      <c r="J267" s="47" t="s">
        <v>34</v>
      </c>
      <c r="K267" s="34" t="s">
        <v>820</v>
      </c>
      <c r="L267" s="156"/>
      <c r="M267" s="151"/>
      <c r="N267" s="151"/>
      <c r="O267" s="151"/>
      <c r="P267" s="151"/>
      <c r="Q267" s="151"/>
      <c r="R267" s="1"/>
      <c r="T267" s="1"/>
      <c r="U267" s="1"/>
      <c r="V267" s="1"/>
      <c r="W267" s="1"/>
    </row>
    <row r="268" spans="1:23" ht="15" customHeight="1">
      <c r="A268" s="34">
        <v>897</v>
      </c>
      <c r="B268" s="34">
        <v>1220</v>
      </c>
      <c r="C268" s="34" t="s">
        <v>1161</v>
      </c>
      <c r="D268" s="41">
        <v>45777</v>
      </c>
      <c r="E268" s="34" t="s">
        <v>25</v>
      </c>
      <c r="F268" s="34" t="s">
        <v>1162</v>
      </c>
      <c r="G268" s="34" t="s">
        <v>1163</v>
      </c>
      <c r="H268" s="34" t="s">
        <v>22</v>
      </c>
      <c r="I268" s="36" t="s">
        <v>1164</v>
      </c>
      <c r="J268" s="47" t="s">
        <v>34</v>
      </c>
      <c r="K268" s="34" t="s">
        <v>820</v>
      </c>
      <c r="L268" s="156"/>
      <c r="M268" s="151"/>
      <c r="N268" s="151"/>
      <c r="O268" s="151"/>
      <c r="P268" s="151"/>
      <c r="Q268" s="151"/>
      <c r="R268" s="1"/>
      <c r="T268" s="1"/>
      <c r="U268" s="1"/>
      <c r="V268" s="1"/>
      <c r="W268" s="1"/>
    </row>
    <row r="269" spans="1:23" ht="15" customHeight="1">
      <c r="A269" s="34">
        <v>896</v>
      </c>
      <c r="B269" s="34">
        <v>1221</v>
      </c>
      <c r="C269" s="34" t="s">
        <v>1157</v>
      </c>
      <c r="D269" s="41">
        <v>45777</v>
      </c>
      <c r="E269" s="34" t="s">
        <v>25</v>
      </c>
      <c r="F269" s="34" t="s">
        <v>991</v>
      </c>
      <c r="G269" s="34" t="s">
        <v>1158</v>
      </c>
      <c r="H269" s="34" t="s">
        <v>1159</v>
      </c>
      <c r="I269" s="36" t="s">
        <v>1160</v>
      </c>
      <c r="J269" s="47" t="s">
        <v>34</v>
      </c>
      <c r="K269" s="34" t="s">
        <v>241</v>
      </c>
      <c r="L269" s="156"/>
      <c r="M269" s="151"/>
      <c r="N269" s="151"/>
      <c r="O269" s="151"/>
      <c r="P269" s="151"/>
      <c r="Q269" s="151"/>
      <c r="R269" s="1"/>
      <c r="T269" s="1"/>
      <c r="U269" s="1"/>
      <c r="V269" s="1"/>
      <c r="W269" s="1"/>
    </row>
    <row r="270" spans="1:23" ht="15" customHeight="1">
      <c r="A270" s="34" t="s">
        <v>1148</v>
      </c>
      <c r="B270" s="34">
        <v>1228</v>
      </c>
      <c r="C270" s="34" t="s">
        <v>630</v>
      </c>
      <c r="D270" s="41">
        <v>45777</v>
      </c>
      <c r="E270" s="34" t="s">
        <v>88</v>
      </c>
      <c r="F270" s="34" t="s">
        <v>166</v>
      </c>
      <c r="G270" s="34" t="s">
        <v>1154</v>
      </c>
      <c r="H270" s="34" t="s">
        <v>910</v>
      </c>
      <c r="I270" s="36" t="s">
        <v>1070</v>
      </c>
      <c r="J270" s="47" t="s">
        <v>34</v>
      </c>
      <c r="K270" s="34" t="s">
        <v>820</v>
      </c>
      <c r="L270" s="156"/>
      <c r="M270" s="151"/>
      <c r="N270" s="151"/>
      <c r="O270" s="151"/>
      <c r="P270" s="151"/>
      <c r="Q270" s="151"/>
      <c r="R270" s="1"/>
      <c r="T270" s="1"/>
      <c r="U270" s="1"/>
      <c r="V270" s="1"/>
      <c r="W270" s="1"/>
    </row>
    <row r="271" spans="1:23" ht="15" customHeight="1">
      <c r="A271" s="34" t="s">
        <v>1147</v>
      </c>
      <c r="B271" s="34">
        <v>1227</v>
      </c>
      <c r="C271" s="34" t="s">
        <v>630</v>
      </c>
      <c r="D271" s="41">
        <v>45777</v>
      </c>
      <c r="E271" s="34" t="s">
        <v>88</v>
      </c>
      <c r="F271" s="34" t="s">
        <v>166</v>
      </c>
      <c r="G271" s="34" t="s">
        <v>1153</v>
      </c>
      <c r="H271" s="34" t="s">
        <v>910</v>
      </c>
      <c r="I271" s="36" t="s">
        <v>1070</v>
      </c>
      <c r="J271" s="47" t="s">
        <v>34</v>
      </c>
      <c r="K271" s="34" t="s">
        <v>820</v>
      </c>
      <c r="L271" s="156"/>
      <c r="M271" s="151"/>
      <c r="N271" s="151"/>
      <c r="O271" s="151"/>
      <c r="P271" s="151"/>
      <c r="Q271" s="151"/>
      <c r="R271" s="1"/>
      <c r="T271" s="1"/>
      <c r="U271" s="1"/>
      <c r="V271" s="1"/>
      <c r="W271" s="1"/>
    </row>
    <row r="272" spans="1:23" ht="15" customHeight="1">
      <c r="A272" s="34" t="s">
        <v>1146</v>
      </c>
      <c r="B272" s="34">
        <v>1226</v>
      </c>
      <c r="C272" s="34" t="s">
        <v>630</v>
      </c>
      <c r="D272" s="41">
        <v>45777</v>
      </c>
      <c r="E272" s="34" t="s">
        <v>88</v>
      </c>
      <c r="F272" s="34" t="s">
        <v>166</v>
      </c>
      <c r="G272" s="34" t="s">
        <v>1152</v>
      </c>
      <c r="H272" s="34" t="s">
        <v>910</v>
      </c>
      <c r="I272" s="36" t="s">
        <v>1070</v>
      </c>
      <c r="J272" s="47" t="s">
        <v>34</v>
      </c>
      <c r="K272" s="34" t="s">
        <v>820</v>
      </c>
      <c r="L272" s="156"/>
      <c r="M272" s="151"/>
      <c r="N272" s="151"/>
      <c r="O272" s="173" t="s">
        <v>2021</v>
      </c>
      <c r="P272" s="148" t="s">
        <v>2088</v>
      </c>
      <c r="Q272" s="154" t="s">
        <v>1919</v>
      </c>
      <c r="R272" s="1"/>
      <c r="T272" s="1"/>
      <c r="U272" s="1"/>
      <c r="V272" s="1"/>
      <c r="W272" s="1"/>
    </row>
    <row r="273" spans="1:23" ht="15" customHeight="1">
      <c r="A273" s="34" t="s">
        <v>1145</v>
      </c>
      <c r="B273" s="34">
        <v>1225</v>
      </c>
      <c r="C273" s="34" t="s">
        <v>630</v>
      </c>
      <c r="D273" s="41">
        <v>45777</v>
      </c>
      <c r="E273" s="34" t="s">
        <v>19</v>
      </c>
      <c r="F273" s="34" t="s">
        <v>78</v>
      </c>
      <c r="G273" s="34" t="s">
        <v>1151</v>
      </c>
      <c r="H273" s="34" t="s">
        <v>910</v>
      </c>
      <c r="I273" s="36" t="s">
        <v>1070</v>
      </c>
      <c r="J273" s="47" t="s">
        <v>34</v>
      </c>
      <c r="K273" s="34" t="s">
        <v>820</v>
      </c>
      <c r="L273" s="156"/>
      <c r="M273" s="151"/>
      <c r="N273" s="151"/>
      <c r="O273" s="173" t="s">
        <v>2019</v>
      </c>
      <c r="P273" s="151" t="s">
        <v>2100</v>
      </c>
      <c r="Q273" s="162" t="s">
        <v>1948</v>
      </c>
      <c r="R273" s="1"/>
      <c r="T273" s="1"/>
      <c r="U273" s="1"/>
      <c r="V273" s="1"/>
      <c r="W273" s="1"/>
    </row>
    <row r="274" spans="1:23" ht="15" customHeight="1">
      <c r="A274" s="34" t="s">
        <v>1144</v>
      </c>
      <c r="B274" s="34">
        <v>1224</v>
      </c>
      <c r="C274" s="34" t="s">
        <v>630</v>
      </c>
      <c r="D274" s="41">
        <v>45777</v>
      </c>
      <c r="E274" s="34" t="s">
        <v>19</v>
      </c>
      <c r="F274" s="34" t="s">
        <v>373</v>
      </c>
      <c r="G274" s="34" t="s">
        <v>1150</v>
      </c>
      <c r="H274" s="34" t="s">
        <v>910</v>
      </c>
      <c r="I274" s="36" t="s">
        <v>1070</v>
      </c>
      <c r="J274" s="47" t="s">
        <v>34</v>
      </c>
      <c r="K274" s="34" t="s">
        <v>820</v>
      </c>
      <c r="L274" s="156"/>
      <c r="M274" s="151"/>
      <c r="N274" s="151"/>
      <c r="O274" s="173" t="s">
        <v>2036</v>
      </c>
      <c r="P274" s="151" t="s">
        <v>2100</v>
      </c>
      <c r="Q274" s="154" t="s">
        <v>1919</v>
      </c>
      <c r="R274" s="1"/>
      <c r="T274" s="1"/>
      <c r="U274" s="1"/>
      <c r="V274" s="1"/>
      <c r="W274" s="1"/>
    </row>
    <row r="275" spans="1:23" ht="15" customHeight="1">
      <c r="A275" s="34" t="s">
        <v>1143</v>
      </c>
      <c r="B275" s="34">
        <v>1229</v>
      </c>
      <c r="C275" s="34" t="s">
        <v>630</v>
      </c>
      <c r="D275" s="41">
        <v>45777</v>
      </c>
      <c r="E275" s="34" t="s">
        <v>25</v>
      </c>
      <c r="F275" s="34" t="s">
        <v>337</v>
      </c>
      <c r="G275" s="34" t="s">
        <v>1149</v>
      </c>
      <c r="H275" s="34" t="s">
        <v>1155</v>
      </c>
      <c r="I275" s="36" t="s">
        <v>1156</v>
      </c>
      <c r="J275" s="47" t="s">
        <v>34</v>
      </c>
      <c r="K275" s="49" t="s">
        <v>1285</v>
      </c>
      <c r="L275" s="156"/>
      <c r="M275" s="151"/>
      <c r="N275" s="151"/>
      <c r="O275" s="151"/>
      <c r="P275" s="151"/>
      <c r="Q275" s="151"/>
    </row>
    <row r="276" spans="1:23" ht="15" customHeight="1">
      <c r="A276" s="34" t="s">
        <v>1125</v>
      </c>
      <c r="B276" s="34">
        <v>1223</v>
      </c>
      <c r="C276" s="34" t="s">
        <v>1136</v>
      </c>
      <c r="D276" s="41">
        <v>45776</v>
      </c>
      <c r="E276" s="34" t="s">
        <v>25</v>
      </c>
      <c r="F276" s="34" t="s">
        <v>337</v>
      </c>
      <c r="G276" s="34" t="s">
        <v>1140</v>
      </c>
      <c r="H276" s="34" t="s">
        <v>825</v>
      </c>
      <c r="I276" s="36" t="s">
        <v>1142</v>
      </c>
      <c r="J276" s="69" t="s">
        <v>50</v>
      </c>
      <c r="K276" s="34" t="s">
        <v>51</v>
      </c>
      <c r="L276" s="156"/>
      <c r="M276" s="151"/>
      <c r="N276" s="151"/>
      <c r="O276" s="151"/>
      <c r="P276" s="151"/>
      <c r="Q276" s="151"/>
      <c r="R276" s="1"/>
      <c r="T276" s="1"/>
      <c r="U276" s="1"/>
      <c r="V276" s="1"/>
      <c r="W276" s="1"/>
    </row>
    <row r="277" spans="1:23" ht="15" customHeight="1">
      <c r="A277" s="34" t="s">
        <v>1126</v>
      </c>
      <c r="B277" s="34">
        <v>1219</v>
      </c>
      <c r="C277" s="34" t="s">
        <v>1136</v>
      </c>
      <c r="D277" s="41">
        <v>45776</v>
      </c>
      <c r="E277" s="34" t="s">
        <v>25</v>
      </c>
      <c r="F277" s="34" t="s">
        <v>1141</v>
      </c>
      <c r="G277" s="34" t="s">
        <v>826</v>
      </c>
      <c r="H277" s="34" t="s">
        <v>825</v>
      </c>
      <c r="I277" s="36" t="s">
        <v>1070</v>
      </c>
      <c r="J277" s="47" t="s">
        <v>34</v>
      </c>
      <c r="K277" s="34" t="s">
        <v>241</v>
      </c>
      <c r="L277" s="156"/>
      <c r="M277" s="151"/>
      <c r="N277" s="151"/>
      <c r="O277" s="151"/>
      <c r="P277" s="151"/>
      <c r="Q277" s="151"/>
      <c r="R277" s="1"/>
      <c r="T277" s="1"/>
      <c r="U277" s="1"/>
      <c r="V277" s="1"/>
      <c r="W277" s="1"/>
    </row>
    <row r="278" spans="1:23" ht="15" customHeight="1">
      <c r="A278" s="34" t="s">
        <v>1127</v>
      </c>
      <c r="B278" s="34">
        <v>1218</v>
      </c>
      <c r="C278" s="34" t="s">
        <v>1136</v>
      </c>
      <c r="D278" s="41">
        <v>45776</v>
      </c>
      <c r="E278" s="34" t="s">
        <v>19</v>
      </c>
      <c r="F278" s="34" t="s">
        <v>1137</v>
      </c>
      <c r="G278" s="34" t="s">
        <v>1165</v>
      </c>
      <c r="H278" s="34" t="s">
        <v>825</v>
      </c>
      <c r="I278" s="36" t="s">
        <v>1070</v>
      </c>
      <c r="J278" s="47" t="s">
        <v>34</v>
      </c>
      <c r="K278" s="34" t="s">
        <v>241</v>
      </c>
      <c r="L278" s="156"/>
      <c r="M278" s="151"/>
      <c r="N278" s="151"/>
      <c r="O278" s="151"/>
      <c r="P278" s="151"/>
      <c r="Q278" s="151"/>
      <c r="R278" s="1"/>
      <c r="T278" s="1"/>
      <c r="U278" s="1"/>
      <c r="V278" s="1"/>
      <c r="W278" s="1"/>
    </row>
    <row r="279" spans="1:23" ht="15" customHeight="1">
      <c r="A279" s="34" t="s">
        <v>1124</v>
      </c>
      <c r="B279" s="34">
        <v>1217</v>
      </c>
      <c r="C279" s="34" t="s">
        <v>1136</v>
      </c>
      <c r="D279" s="41">
        <v>45776</v>
      </c>
      <c r="E279" s="34" t="s">
        <v>19</v>
      </c>
      <c r="F279" s="34" t="s">
        <v>1137</v>
      </c>
      <c r="G279" s="34" t="s">
        <v>1139</v>
      </c>
      <c r="H279" s="34" t="s">
        <v>825</v>
      </c>
      <c r="I279" s="36" t="s">
        <v>1070</v>
      </c>
      <c r="J279" s="69" t="s">
        <v>50</v>
      </c>
      <c r="K279" s="34" t="s">
        <v>51</v>
      </c>
      <c r="L279" s="156"/>
      <c r="M279" s="151"/>
      <c r="N279" s="151"/>
      <c r="O279" s="151"/>
      <c r="P279" s="151"/>
      <c r="Q279" s="151"/>
    </row>
    <row r="280" spans="1:23" ht="15" customHeight="1">
      <c r="A280" s="34" t="s">
        <v>1123</v>
      </c>
      <c r="B280" s="34">
        <v>1216</v>
      </c>
      <c r="C280" s="34" t="s">
        <v>1136</v>
      </c>
      <c r="D280" s="41">
        <v>45776</v>
      </c>
      <c r="E280" s="34" t="s">
        <v>19</v>
      </c>
      <c r="F280" s="34" t="s">
        <v>1137</v>
      </c>
      <c r="G280" s="34" t="s">
        <v>1138</v>
      </c>
      <c r="H280" s="34" t="s">
        <v>825</v>
      </c>
      <c r="I280" s="36" t="s">
        <v>1070</v>
      </c>
      <c r="J280" s="47" t="s">
        <v>34</v>
      </c>
      <c r="K280" s="34" t="s">
        <v>241</v>
      </c>
      <c r="L280" s="156"/>
      <c r="M280" s="151"/>
      <c r="N280" s="151"/>
      <c r="O280" s="151"/>
      <c r="P280" s="151"/>
      <c r="Q280" s="151"/>
      <c r="R280" s="1"/>
      <c r="T280" s="1"/>
      <c r="U280" s="1"/>
      <c r="V280" s="1"/>
      <c r="W280" s="1"/>
    </row>
    <row r="281" spans="1:23" ht="12.75" customHeight="1">
      <c r="A281" s="34" t="s">
        <v>1130</v>
      </c>
      <c r="B281" s="34">
        <v>1215</v>
      </c>
      <c r="C281" s="34" t="s">
        <v>824</v>
      </c>
      <c r="D281" s="41">
        <v>45775</v>
      </c>
      <c r="E281" s="34" t="s">
        <v>19</v>
      </c>
      <c r="F281" s="34" t="s">
        <v>1132</v>
      </c>
      <c r="G281" s="34" t="s">
        <v>1134</v>
      </c>
      <c r="H281" s="34" t="s">
        <v>910</v>
      </c>
      <c r="I281" s="36" t="s">
        <v>1135</v>
      </c>
      <c r="J281" s="47" t="s">
        <v>34</v>
      </c>
      <c r="K281" s="34" t="s">
        <v>820</v>
      </c>
      <c r="L281" s="156"/>
      <c r="M281" s="151"/>
      <c r="N281" s="151"/>
      <c r="O281" s="151"/>
      <c r="P281" s="151"/>
      <c r="Q281" s="151"/>
      <c r="R281" s="1"/>
      <c r="T281" s="1"/>
      <c r="U281" s="1"/>
      <c r="V281" s="1"/>
      <c r="W281" s="1"/>
    </row>
    <row r="282" spans="1:23" ht="13.5" customHeight="1">
      <c r="A282" s="34" t="s">
        <v>1129</v>
      </c>
      <c r="B282" s="34">
        <v>1213</v>
      </c>
      <c r="C282" s="34" t="s">
        <v>824</v>
      </c>
      <c r="D282" s="41">
        <v>45775</v>
      </c>
      <c r="E282" s="34" t="s">
        <v>19</v>
      </c>
      <c r="F282" s="34" t="s">
        <v>1131</v>
      </c>
      <c r="G282" s="34" t="s">
        <v>1133</v>
      </c>
      <c r="H282" s="34" t="s">
        <v>910</v>
      </c>
      <c r="I282" s="36" t="s">
        <v>1070</v>
      </c>
      <c r="J282" s="47" t="s">
        <v>34</v>
      </c>
      <c r="K282" s="34" t="s">
        <v>820</v>
      </c>
      <c r="L282" s="156"/>
      <c r="M282" s="151"/>
      <c r="N282" s="151"/>
      <c r="O282" s="151"/>
      <c r="P282" s="151"/>
      <c r="Q282" s="151"/>
      <c r="R282" s="1"/>
      <c r="T282" s="1"/>
      <c r="U282" s="1"/>
      <c r="V282" s="1"/>
      <c r="W282" s="1"/>
    </row>
    <row r="283" spans="1:23" ht="14.25" customHeight="1">
      <c r="A283" s="34" t="s">
        <v>1128</v>
      </c>
      <c r="B283" s="34">
        <v>1214</v>
      </c>
      <c r="C283" s="34" t="s">
        <v>824</v>
      </c>
      <c r="D283" s="41">
        <v>45775</v>
      </c>
      <c r="E283" s="34" t="s">
        <v>19</v>
      </c>
      <c r="F283" s="34" t="s">
        <v>123</v>
      </c>
      <c r="G283" s="34" t="s">
        <v>429</v>
      </c>
      <c r="H283" s="34" t="s">
        <v>910</v>
      </c>
      <c r="I283" s="36" t="s">
        <v>1070</v>
      </c>
      <c r="J283" s="47" t="s">
        <v>34</v>
      </c>
      <c r="K283" s="34" t="s">
        <v>241</v>
      </c>
      <c r="L283" s="156"/>
      <c r="M283" s="151"/>
      <c r="N283" s="151"/>
      <c r="O283" s="151"/>
      <c r="P283" s="151"/>
      <c r="Q283" s="151"/>
      <c r="R283" s="1"/>
      <c r="T283" s="1"/>
      <c r="U283" s="1"/>
      <c r="V283" s="1"/>
      <c r="W283" s="1"/>
    </row>
    <row r="284" spans="1:23" ht="14.25" customHeight="1">
      <c r="A284" s="34">
        <v>892</v>
      </c>
      <c r="B284" s="34">
        <v>1212</v>
      </c>
      <c r="C284" s="34" t="s">
        <v>1120</v>
      </c>
      <c r="D284" s="41">
        <v>45773</v>
      </c>
      <c r="E284" s="34" t="s">
        <v>25</v>
      </c>
      <c r="F284" s="34" t="s">
        <v>359</v>
      </c>
      <c r="G284" s="34" t="s">
        <v>1121</v>
      </c>
      <c r="H284" s="34" t="s">
        <v>910</v>
      </c>
      <c r="I284" s="36" t="s">
        <v>1122</v>
      </c>
      <c r="J284" s="47" t="s">
        <v>34</v>
      </c>
      <c r="K284" s="34" t="s">
        <v>142</v>
      </c>
      <c r="L284" s="156"/>
      <c r="M284" s="151"/>
      <c r="N284" s="151"/>
      <c r="O284" s="151"/>
      <c r="P284" s="151"/>
      <c r="Q284" s="151"/>
      <c r="R284" s="1"/>
      <c r="T284" s="1"/>
      <c r="U284" s="1"/>
      <c r="V284" s="1"/>
      <c r="W284" s="1"/>
    </row>
    <row r="285" spans="1:23" ht="14.25" customHeight="1">
      <c r="A285" s="34" t="s">
        <v>1115</v>
      </c>
      <c r="B285" s="34">
        <v>1211</v>
      </c>
      <c r="C285" s="34" t="s">
        <v>562</v>
      </c>
      <c r="D285" s="41">
        <v>45770</v>
      </c>
      <c r="E285" s="34" t="s">
        <v>25</v>
      </c>
      <c r="F285" s="34" t="s">
        <v>1116</v>
      </c>
      <c r="G285" s="34" t="s">
        <v>1119</v>
      </c>
      <c r="H285" s="34" t="s">
        <v>825</v>
      </c>
      <c r="I285" s="36" t="s">
        <v>1118</v>
      </c>
      <c r="J285" s="47" t="s">
        <v>34</v>
      </c>
      <c r="K285" s="34" t="s">
        <v>241</v>
      </c>
      <c r="L285" s="156"/>
      <c r="M285" s="151"/>
      <c r="N285" s="151"/>
      <c r="O285" s="151"/>
      <c r="P285" s="151"/>
      <c r="Q285" s="151"/>
      <c r="R285" s="1"/>
      <c r="T285" s="1"/>
      <c r="U285" s="1"/>
      <c r="V285" s="1"/>
      <c r="W285" s="1"/>
    </row>
    <row r="286" spans="1:23" ht="14.25" customHeight="1">
      <c r="A286" s="34" t="s">
        <v>1114</v>
      </c>
      <c r="B286" s="34">
        <v>1210</v>
      </c>
      <c r="C286" s="34" t="s">
        <v>562</v>
      </c>
      <c r="D286" s="41">
        <v>45770</v>
      </c>
      <c r="E286" s="34" t="s">
        <v>19</v>
      </c>
      <c r="F286" s="34" t="s">
        <v>513</v>
      </c>
      <c r="G286" s="34" t="s">
        <v>1117</v>
      </c>
      <c r="H286" s="34" t="s">
        <v>825</v>
      </c>
      <c r="I286" s="36" t="s">
        <v>1118</v>
      </c>
      <c r="J286" s="47" t="s">
        <v>34</v>
      </c>
      <c r="K286" s="34" t="s">
        <v>241</v>
      </c>
      <c r="L286" s="156"/>
      <c r="M286" s="151"/>
      <c r="N286" s="151"/>
      <c r="O286" s="151"/>
      <c r="P286" s="151"/>
      <c r="Q286" s="151"/>
      <c r="R286" s="1"/>
      <c r="T286" s="1"/>
      <c r="U286" s="1"/>
      <c r="V286" s="1"/>
      <c r="W286" s="1"/>
    </row>
    <row r="287" spans="1:23" ht="14.25" customHeight="1">
      <c r="A287" s="34">
        <v>890</v>
      </c>
      <c r="B287" s="34">
        <v>1209</v>
      </c>
      <c r="C287" s="34" t="s">
        <v>1103</v>
      </c>
      <c r="D287" s="41">
        <v>45769</v>
      </c>
      <c r="E287" s="34" t="s">
        <v>25</v>
      </c>
      <c r="F287" s="34" t="s">
        <v>1111</v>
      </c>
      <c r="G287" s="34" t="s">
        <v>1112</v>
      </c>
      <c r="H287" s="34" t="s">
        <v>993</v>
      </c>
      <c r="I287" s="36" t="s">
        <v>1113</v>
      </c>
      <c r="J287" s="47" t="s">
        <v>34</v>
      </c>
      <c r="K287" s="34" t="s">
        <v>241</v>
      </c>
      <c r="L287" s="156"/>
      <c r="M287" s="151"/>
      <c r="N287" s="151"/>
      <c r="O287" s="151"/>
      <c r="P287" s="151"/>
      <c r="Q287" s="151"/>
      <c r="R287" s="1"/>
      <c r="T287" s="1"/>
      <c r="U287" s="1"/>
      <c r="V287" s="1"/>
      <c r="W287" s="1"/>
    </row>
    <row r="288" spans="1:23" ht="14.25" customHeight="1">
      <c r="A288" s="34">
        <v>889</v>
      </c>
      <c r="B288" s="34">
        <v>1207</v>
      </c>
      <c r="C288" s="34" t="s">
        <v>1108</v>
      </c>
      <c r="D288" s="41">
        <v>45769</v>
      </c>
      <c r="E288" s="34" t="s">
        <v>25</v>
      </c>
      <c r="F288" s="34" t="s">
        <v>1109</v>
      </c>
      <c r="G288" s="34" t="s">
        <v>826</v>
      </c>
      <c r="H288" s="34" t="s">
        <v>910</v>
      </c>
      <c r="I288" s="36" t="s">
        <v>1110</v>
      </c>
      <c r="J288" s="69" t="s">
        <v>50</v>
      </c>
      <c r="K288" s="34" t="s">
        <v>51</v>
      </c>
      <c r="L288" s="156"/>
      <c r="M288" s="151"/>
      <c r="N288" s="151"/>
      <c r="O288" s="151"/>
      <c r="P288" s="151"/>
      <c r="Q288" s="151"/>
      <c r="R288" s="1"/>
      <c r="T288" s="1"/>
      <c r="U288" s="1"/>
      <c r="V288" s="1"/>
      <c r="W288" s="1"/>
    </row>
    <row r="289" spans="1:23" ht="14.25" customHeight="1">
      <c r="A289" s="34">
        <v>888</v>
      </c>
      <c r="B289" s="40" t="s">
        <v>13</v>
      </c>
      <c r="C289" s="34" t="s">
        <v>1103</v>
      </c>
      <c r="D289" s="41">
        <v>45768</v>
      </c>
      <c r="E289" s="34" t="s">
        <v>25</v>
      </c>
      <c r="F289" s="34" t="s">
        <v>1104</v>
      </c>
      <c r="G289" s="34" t="s">
        <v>1105</v>
      </c>
      <c r="H289" s="34" t="s">
        <v>993</v>
      </c>
      <c r="I289" s="36" t="s">
        <v>1106</v>
      </c>
      <c r="J289" s="47" t="s">
        <v>34</v>
      </c>
      <c r="K289" s="34" t="s">
        <v>1107</v>
      </c>
      <c r="L289" s="156"/>
      <c r="M289" s="151"/>
      <c r="N289" s="151"/>
      <c r="O289" s="151"/>
      <c r="P289" s="151"/>
      <c r="Q289" s="151"/>
      <c r="R289" s="1"/>
      <c r="T289" s="1"/>
      <c r="U289" s="1"/>
      <c r="V289" s="1"/>
      <c r="W289" s="1"/>
    </row>
    <row r="290" spans="1:23" ht="14.25" customHeight="1">
      <c r="A290" s="34">
        <v>887</v>
      </c>
      <c r="B290" s="34">
        <v>1208</v>
      </c>
      <c r="C290" s="34" t="s">
        <v>185</v>
      </c>
      <c r="D290" s="41">
        <v>45768</v>
      </c>
      <c r="E290" s="34" t="s">
        <v>19</v>
      </c>
      <c r="F290" s="34" t="s">
        <v>123</v>
      </c>
      <c r="G290" s="34" t="s">
        <v>1101</v>
      </c>
      <c r="H290" s="34" t="s">
        <v>1102</v>
      </c>
      <c r="I290" s="36" t="s">
        <v>1070</v>
      </c>
      <c r="J290" s="47" t="s">
        <v>34</v>
      </c>
      <c r="K290" s="34" t="s">
        <v>241</v>
      </c>
      <c r="L290" s="156"/>
      <c r="M290" s="151"/>
      <c r="N290" s="151"/>
      <c r="O290" s="151"/>
      <c r="P290" s="151"/>
      <c r="Q290" s="151"/>
      <c r="R290" s="1"/>
      <c r="T290" s="1"/>
      <c r="U290" s="1"/>
      <c r="V290" s="1"/>
      <c r="W290" s="1"/>
    </row>
    <row r="291" spans="1:23" ht="14.25" customHeight="1">
      <c r="A291" s="34" t="s">
        <v>1096</v>
      </c>
      <c r="B291" s="40" t="s">
        <v>13</v>
      </c>
      <c r="C291" s="34" t="s">
        <v>1036</v>
      </c>
      <c r="D291" s="41">
        <v>45762</v>
      </c>
      <c r="E291" s="34" t="s">
        <v>25</v>
      </c>
      <c r="F291" s="34" t="s">
        <v>414</v>
      </c>
      <c r="G291" s="34" t="s">
        <v>1098</v>
      </c>
      <c r="H291" s="34" t="s">
        <v>14</v>
      </c>
      <c r="I291" s="36" t="s">
        <v>1099</v>
      </c>
      <c r="J291" s="47" t="s">
        <v>34</v>
      </c>
      <c r="K291" s="34" t="s">
        <v>241</v>
      </c>
      <c r="L291" s="156"/>
      <c r="M291" s="151"/>
      <c r="N291" s="151"/>
      <c r="O291" s="151"/>
      <c r="P291" s="151"/>
      <c r="Q291" s="151"/>
      <c r="R291" s="1"/>
      <c r="T291" s="1"/>
      <c r="U291" s="1"/>
      <c r="V291" s="1"/>
      <c r="W291" s="1"/>
    </row>
    <row r="292" spans="1:23" ht="14.25" customHeight="1">
      <c r="A292" s="34" t="s">
        <v>1095</v>
      </c>
      <c r="B292" s="34">
        <v>1205</v>
      </c>
      <c r="C292" s="34" t="s">
        <v>1036</v>
      </c>
      <c r="D292" s="41">
        <v>45762</v>
      </c>
      <c r="E292" s="34" t="s">
        <v>25</v>
      </c>
      <c r="F292" s="34" t="s">
        <v>1065</v>
      </c>
      <c r="G292" s="34">
        <v>3248301080</v>
      </c>
      <c r="H292" s="34" t="s">
        <v>1097</v>
      </c>
      <c r="I292" s="36" t="s">
        <v>826</v>
      </c>
      <c r="J292" s="47" t="s">
        <v>34</v>
      </c>
      <c r="K292" s="34" t="s">
        <v>241</v>
      </c>
      <c r="L292" s="156"/>
      <c r="M292" s="151"/>
      <c r="N292" s="151"/>
      <c r="O292" s="151"/>
      <c r="P292" s="151"/>
      <c r="Q292" s="151"/>
      <c r="R292" s="1"/>
      <c r="T292" s="1"/>
      <c r="U292" s="1"/>
      <c r="V292" s="1"/>
      <c r="W292" s="1"/>
    </row>
    <row r="293" spans="1:23" ht="14.25" customHeight="1">
      <c r="A293" s="34">
        <v>885</v>
      </c>
      <c r="B293" s="34">
        <v>1206</v>
      </c>
      <c r="C293" s="37" t="s">
        <v>58</v>
      </c>
      <c r="D293" s="41">
        <v>45761</v>
      </c>
      <c r="E293" s="34" t="s">
        <v>25</v>
      </c>
      <c r="F293" s="34" t="s">
        <v>571</v>
      </c>
      <c r="G293" s="34" t="s">
        <v>934</v>
      </c>
      <c r="H293" s="34" t="s">
        <v>993</v>
      </c>
      <c r="I293" s="36" t="s">
        <v>1094</v>
      </c>
      <c r="J293" s="47" t="s">
        <v>34</v>
      </c>
      <c r="K293" s="34" t="s">
        <v>241</v>
      </c>
      <c r="L293" s="156"/>
      <c r="M293" s="151"/>
      <c r="N293" s="151"/>
      <c r="O293" s="151"/>
      <c r="P293" s="151"/>
      <c r="Q293" s="151"/>
      <c r="R293" s="1"/>
      <c r="T293" s="1"/>
      <c r="U293" s="1"/>
      <c r="V293" s="1"/>
      <c r="W293" s="1"/>
    </row>
    <row r="294" spans="1:23" ht="14.25" customHeight="1">
      <c r="A294" s="34" t="s">
        <v>1083</v>
      </c>
      <c r="B294" s="34">
        <v>1276</v>
      </c>
      <c r="C294" s="36" t="s">
        <v>1085</v>
      </c>
      <c r="D294" s="41">
        <v>45761</v>
      </c>
      <c r="E294" s="34" t="s">
        <v>42</v>
      </c>
      <c r="F294" s="34" t="s">
        <v>1086</v>
      </c>
      <c r="G294" s="34">
        <v>2657238</v>
      </c>
      <c r="H294" s="34" t="s">
        <v>14</v>
      </c>
      <c r="I294" s="36" t="s">
        <v>1093</v>
      </c>
      <c r="J294" s="47" t="s">
        <v>34</v>
      </c>
      <c r="K294" s="34" t="s">
        <v>241</v>
      </c>
      <c r="L294" s="156"/>
      <c r="M294" s="151"/>
      <c r="N294" s="151"/>
      <c r="O294" s="151"/>
      <c r="P294" s="151"/>
      <c r="Q294" s="151"/>
      <c r="R294" s="1"/>
      <c r="T294" s="1"/>
      <c r="U294" s="1"/>
      <c r="V294" s="1"/>
      <c r="W294" s="1"/>
    </row>
    <row r="295" spans="1:23" ht="14.25" customHeight="1">
      <c r="A295" s="34" t="s">
        <v>1084</v>
      </c>
      <c r="B295" s="34">
        <v>1258</v>
      </c>
      <c r="C295" s="36" t="s">
        <v>1085</v>
      </c>
      <c r="D295" s="41">
        <v>45761</v>
      </c>
      <c r="E295" s="34" t="s">
        <v>42</v>
      </c>
      <c r="F295" s="34" t="s">
        <v>1087</v>
      </c>
      <c r="G295" s="34" t="s">
        <v>1089</v>
      </c>
      <c r="H295" s="34" t="s">
        <v>14</v>
      </c>
      <c r="I295" s="36" t="s">
        <v>1092</v>
      </c>
      <c r="J295" s="47" t="s">
        <v>34</v>
      </c>
      <c r="K295" s="34" t="s">
        <v>241</v>
      </c>
      <c r="L295" s="156"/>
      <c r="M295" s="151"/>
      <c r="N295" s="151"/>
      <c r="O295" s="151"/>
      <c r="P295" s="151"/>
      <c r="Q295" s="151"/>
    </row>
    <row r="296" spans="1:23" ht="14.25" customHeight="1">
      <c r="A296" s="34" t="s">
        <v>1082</v>
      </c>
      <c r="B296" s="34">
        <v>1257</v>
      </c>
      <c r="C296" s="36" t="s">
        <v>1085</v>
      </c>
      <c r="D296" s="41">
        <v>45761</v>
      </c>
      <c r="E296" s="34" t="s">
        <v>42</v>
      </c>
      <c r="F296" s="34" t="s">
        <v>1086</v>
      </c>
      <c r="G296" s="34">
        <v>2657239</v>
      </c>
      <c r="H296" s="34" t="s">
        <v>14</v>
      </c>
      <c r="I296" s="36" t="s">
        <v>1091</v>
      </c>
      <c r="J296" s="47" t="s">
        <v>34</v>
      </c>
      <c r="K296" s="34" t="s">
        <v>241</v>
      </c>
      <c r="L296" s="156"/>
      <c r="M296" s="151"/>
      <c r="N296" s="151"/>
      <c r="O296" s="151"/>
      <c r="P296" s="151"/>
      <c r="Q296" s="151"/>
    </row>
    <row r="297" spans="1:23" ht="14.25" customHeight="1">
      <c r="A297" s="34" t="s">
        <v>1081</v>
      </c>
      <c r="B297" s="34">
        <v>1275</v>
      </c>
      <c r="C297" s="36" t="s">
        <v>1085</v>
      </c>
      <c r="D297" s="41">
        <v>45761</v>
      </c>
      <c r="E297" s="34" t="s">
        <v>42</v>
      </c>
      <c r="F297" s="34" t="s">
        <v>1087</v>
      </c>
      <c r="G297" s="34" t="s">
        <v>1088</v>
      </c>
      <c r="H297" s="34" t="s">
        <v>14</v>
      </c>
      <c r="I297" s="36" t="s">
        <v>1090</v>
      </c>
      <c r="J297" s="47" t="s">
        <v>34</v>
      </c>
      <c r="K297" s="34" t="s">
        <v>241</v>
      </c>
      <c r="L297" s="156"/>
      <c r="M297" s="151"/>
      <c r="N297" s="151"/>
      <c r="O297" s="151"/>
      <c r="P297" s="151"/>
      <c r="Q297" s="151"/>
    </row>
    <row r="298" spans="1:23" ht="14.25" customHeight="1">
      <c r="A298" s="34">
        <v>883</v>
      </c>
      <c r="B298" s="34">
        <v>1204</v>
      </c>
      <c r="C298" s="36" t="s">
        <v>1077</v>
      </c>
      <c r="D298" s="41">
        <v>45759</v>
      </c>
      <c r="E298" s="34" t="s">
        <v>25</v>
      </c>
      <c r="F298" s="34" t="s">
        <v>256</v>
      </c>
      <c r="G298" s="34" t="s">
        <v>1078</v>
      </c>
      <c r="H298" s="34" t="s">
        <v>993</v>
      </c>
      <c r="I298" s="36" t="s">
        <v>1079</v>
      </c>
      <c r="J298" s="47" t="s">
        <v>34</v>
      </c>
      <c r="K298" s="34" t="s">
        <v>241</v>
      </c>
      <c r="L298" s="156"/>
      <c r="M298" s="151"/>
      <c r="N298" s="151"/>
      <c r="O298" s="151"/>
      <c r="P298" s="151"/>
      <c r="Q298" s="151"/>
    </row>
    <row r="299" spans="1:23" ht="14.25" customHeight="1">
      <c r="A299" s="34">
        <v>881</v>
      </c>
      <c r="B299" s="40" t="s">
        <v>13</v>
      </c>
      <c r="C299" s="34" t="s">
        <v>1074</v>
      </c>
      <c r="D299" s="41">
        <v>45025</v>
      </c>
      <c r="E299" s="34" t="s">
        <v>25</v>
      </c>
      <c r="F299" s="34" t="s">
        <v>1075</v>
      </c>
      <c r="G299" s="34" t="s">
        <v>1076</v>
      </c>
      <c r="H299" s="34" t="s">
        <v>14</v>
      </c>
      <c r="I299" s="34" t="s">
        <v>826</v>
      </c>
      <c r="J299" s="47" t="s">
        <v>34</v>
      </c>
      <c r="K299" s="34" t="s">
        <v>241</v>
      </c>
      <c r="L299" s="156"/>
      <c r="M299" s="151"/>
      <c r="N299" s="151"/>
      <c r="O299" s="151"/>
      <c r="P299" s="151"/>
      <c r="Q299" s="151"/>
    </row>
    <row r="300" spans="1:23" ht="14.25" customHeight="1">
      <c r="A300" s="34">
        <v>302</v>
      </c>
      <c r="B300" s="34">
        <v>1185</v>
      </c>
      <c r="C300" s="34" t="s">
        <v>1072</v>
      </c>
      <c r="D300" s="41">
        <v>44966</v>
      </c>
      <c r="E300" s="34" t="s">
        <v>88</v>
      </c>
      <c r="F300" s="34" t="s">
        <v>1073</v>
      </c>
      <c r="G300" s="72"/>
      <c r="H300" s="34" t="s">
        <v>826</v>
      </c>
      <c r="I300" s="34" t="s">
        <v>826</v>
      </c>
      <c r="J300" s="47" t="s">
        <v>34</v>
      </c>
      <c r="K300" s="34" t="s">
        <v>241</v>
      </c>
      <c r="L300" s="156"/>
      <c r="M300" s="151"/>
      <c r="N300" s="151"/>
      <c r="O300" s="151"/>
      <c r="P300" s="151"/>
      <c r="Q300" s="151"/>
    </row>
    <row r="301" spans="1:23" ht="14.25" customHeight="1">
      <c r="A301" s="34" t="s">
        <v>1062</v>
      </c>
      <c r="B301" s="34">
        <v>1200</v>
      </c>
      <c r="C301" s="34" t="s">
        <v>1063</v>
      </c>
      <c r="D301" s="41">
        <v>45748</v>
      </c>
      <c r="E301" s="34" t="s">
        <v>25</v>
      </c>
      <c r="F301" s="34" t="s">
        <v>1065</v>
      </c>
      <c r="G301" s="34" t="s">
        <v>1068</v>
      </c>
      <c r="H301" s="34" t="s">
        <v>14</v>
      </c>
      <c r="I301" s="34" t="s">
        <v>1069</v>
      </c>
      <c r="J301" s="47" t="s">
        <v>34</v>
      </c>
      <c r="K301" s="34" t="s">
        <v>241</v>
      </c>
      <c r="L301" s="156"/>
      <c r="M301" s="151"/>
      <c r="N301" s="151"/>
      <c r="O301" s="151"/>
      <c r="P301" s="151"/>
      <c r="Q301" s="151"/>
    </row>
    <row r="302" spans="1:23" ht="14.25" customHeight="1">
      <c r="A302" s="34" t="s">
        <v>1061</v>
      </c>
      <c r="B302" s="34">
        <v>1198</v>
      </c>
      <c r="C302" s="34" t="s">
        <v>1063</v>
      </c>
      <c r="D302" s="41">
        <v>45748</v>
      </c>
      <c r="E302" s="34" t="s">
        <v>25</v>
      </c>
      <c r="F302" s="34" t="s">
        <v>1064</v>
      </c>
      <c r="G302" s="34" t="s">
        <v>1067</v>
      </c>
      <c r="H302" s="34" t="s">
        <v>14</v>
      </c>
      <c r="I302" s="34" t="s">
        <v>1070</v>
      </c>
      <c r="J302" s="47" t="s">
        <v>34</v>
      </c>
      <c r="K302" s="34" t="s">
        <v>241</v>
      </c>
      <c r="L302" s="156"/>
      <c r="M302" s="151"/>
      <c r="N302" s="151"/>
      <c r="O302" s="151"/>
      <c r="P302" s="151"/>
      <c r="Q302" s="151"/>
    </row>
    <row r="303" spans="1:23" ht="14.25" customHeight="1">
      <c r="A303" s="34" t="s">
        <v>1060</v>
      </c>
      <c r="B303" s="34">
        <v>1199</v>
      </c>
      <c r="C303" s="34" t="s">
        <v>1063</v>
      </c>
      <c r="D303" s="41">
        <v>45748</v>
      </c>
      <c r="E303" s="34" t="s">
        <v>25</v>
      </c>
      <c r="F303" s="34" t="s">
        <v>1064</v>
      </c>
      <c r="G303" s="34" t="s">
        <v>1066</v>
      </c>
      <c r="H303" s="34" t="s">
        <v>14</v>
      </c>
      <c r="I303" s="36" t="s">
        <v>1071</v>
      </c>
      <c r="J303" s="47" t="s">
        <v>34</v>
      </c>
      <c r="K303" s="34" t="s">
        <v>241</v>
      </c>
      <c r="L303" s="156"/>
      <c r="M303" s="151"/>
      <c r="N303" s="151"/>
      <c r="O303" s="151"/>
      <c r="P303" s="151"/>
      <c r="Q303" s="151"/>
    </row>
    <row r="304" spans="1:23" ht="14.25" customHeight="1">
      <c r="A304" s="34">
        <v>879</v>
      </c>
      <c r="B304" s="34">
        <v>1202</v>
      </c>
      <c r="C304" s="34" t="s">
        <v>1056</v>
      </c>
      <c r="D304" s="41">
        <v>45748</v>
      </c>
      <c r="E304" s="34" t="s">
        <v>747</v>
      </c>
      <c r="F304" s="34" t="s">
        <v>1057</v>
      </c>
      <c r="G304" s="34" t="s">
        <v>1058</v>
      </c>
      <c r="H304" s="34" t="s">
        <v>14</v>
      </c>
      <c r="I304" s="34" t="s">
        <v>1059</v>
      </c>
      <c r="J304" s="47" t="s">
        <v>34</v>
      </c>
      <c r="K304" s="34" t="s">
        <v>769</v>
      </c>
      <c r="L304" s="156"/>
      <c r="M304" s="151"/>
      <c r="N304" s="151"/>
      <c r="O304" s="151"/>
      <c r="P304" s="151"/>
      <c r="Q304" s="151"/>
    </row>
    <row r="305" spans="1:17" ht="14.25" customHeight="1">
      <c r="A305" s="34">
        <v>878</v>
      </c>
      <c r="B305" s="34">
        <v>1201</v>
      </c>
      <c r="C305" s="34" t="s">
        <v>1052</v>
      </c>
      <c r="D305" s="41">
        <v>45741</v>
      </c>
      <c r="E305" s="34" t="s">
        <v>25</v>
      </c>
      <c r="F305" s="34" t="s">
        <v>1053</v>
      </c>
      <c r="G305" s="34" t="s">
        <v>1054</v>
      </c>
      <c r="H305" s="34" t="s">
        <v>14</v>
      </c>
      <c r="I305" s="36" t="s">
        <v>1055</v>
      </c>
      <c r="J305" s="47" t="s">
        <v>34</v>
      </c>
      <c r="K305" s="34" t="s">
        <v>241</v>
      </c>
      <c r="L305" s="156"/>
      <c r="M305" s="151"/>
      <c r="N305" s="151"/>
      <c r="O305" s="151"/>
      <c r="P305" s="151"/>
      <c r="Q305" s="151"/>
    </row>
    <row r="306" spans="1:17" ht="14.25" customHeight="1">
      <c r="A306" s="34">
        <v>877</v>
      </c>
      <c r="B306" s="34">
        <v>1197</v>
      </c>
      <c r="C306" s="34" t="s">
        <v>1049</v>
      </c>
      <c r="D306" s="41">
        <v>45743</v>
      </c>
      <c r="E306" s="34" t="s">
        <v>747</v>
      </c>
      <c r="F306" s="34" t="s">
        <v>1050</v>
      </c>
      <c r="G306" s="34" t="s">
        <v>826</v>
      </c>
      <c r="H306" s="34" t="s">
        <v>14</v>
      </c>
      <c r="I306" s="36" t="s">
        <v>1051</v>
      </c>
      <c r="J306" s="47" t="s">
        <v>34</v>
      </c>
      <c r="K306" s="34" t="s">
        <v>241</v>
      </c>
      <c r="L306" s="156"/>
      <c r="M306" s="151"/>
      <c r="N306" s="151"/>
      <c r="O306" s="151"/>
      <c r="P306" s="151"/>
      <c r="Q306" s="151"/>
    </row>
    <row r="307" spans="1:17" ht="14.25" customHeight="1">
      <c r="A307" s="34" t="s">
        <v>1045</v>
      </c>
      <c r="B307" s="34">
        <v>1235</v>
      </c>
      <c r="C307" s="34" t="s">
        <v>18</v>
      </c>
      <c r="D307" s="41">
        <v>45741</v>
      </c>
      <c r="E307" s="34" t="s">
        <v>19</v>
      </c>
      <c r="F307" s="34" t="s">
        <v>537</v>
      </c>
      <c r="G307" s="34" t="s">
        <v>538</v>
      </c>
      <c r="H307" s="34" t="s">
        <v>14</v>
      </c>
      <c r="I307" s="34" t="s">
        <v>23</v>
      </c>
      <c r="J307" s="47" t="s">
        <v>34</v>
      </c>
      <c r="K307" s="34" t="s">
        <v>142</v>
      </c>
      <c r="L307" s="156"/>
      <c r="M307" s="151"/>
      <c r="N307" s="151"/>
      <c r="O307" s="151"/>
      <c r="P307" s="151"/>
      <c r="Q307" s="151"/>
    </row>
    <row r="308" spans="1:17" ht="14.25" customHeight="1">
      <c r="A308" s="34" t="s">
        <v>1044</v>
      </c>
      <c r="B308" s="34">
        <v>1195</v>
      </c>
      <c r="C308" s="34" t="s">
        <v>18</v>
      </c>
      <c r="D308" s="41">
        <v>45741</v>
      </c>
      <c r="E308" s="34" t="s">
        <v>19</v>
      </c>
      <c r="F308" s="34" t="s">
        <v>1046</v>
      </c>
      <c r="G308" s="34" t="s">
        <v>1047</v>
      </c>
      <c r="H308" s="34" t="s">
        <v>14</v>
      </c>
      <c r="I308" s="34" t="s">
        <v>44</v>
      </c>
      <c r="J308" s="47" t="s">
        <v>34</v>
      </c>
      <c r="K308" s="34" t="s">
        <v>241</v>
      </c>
      <c r="L308" s="156"/>
      <c r="M308" s="151"/>
      <c r="N308" s="151"/>
      <c r="O308" s="151"/>
      <c r="P308" s="151"/>
      <c r="Q308" s="151"/>
    </row>
    <row r="309" spans="1:17" ht="14.25" customHeight="1">
      <c r="A309" s="34" t="s">
        <v>1043</v>
      </c>
      <c r="B309" s="34">
        <v>1193</v>
      </c>
      <c r="C309" s="34" t="s">
        <v>18</v>
      </c>
      <c r="D309" s="41">
        <v>45741</v>
      </c>
      <c r="E309" s="34" t="s">
        <v>19</v>
      </c>
      <c r="F309" s="34" t="s">
        <v>123</v>
      </c>
      <c r="G309" s="34" t="s">
        <v>1048</v>
      </c>
      <c r="H309" s="34" t="s">
        <v>14</v>
      </c>
      <c r="I309" s="34" t="s">
        <v>23</v>
      </c>
      <c r="J309" s="47" t="s">
        <v>34</v>
      </c>
      <c r="K309" s="34" t="s">
        <v>241</v>
      </c>
      <c r="L309" s="156"/>
      <c r="M309" s="151"/>
      <c r="N309" s="151"/>
      <c r="O309" s="151"/>
      <c r="P309" s="151"/>
      <c r="Q309" s="151"/>
    </row>
    <row r="310" spans="1:17" ht="14.25" customHeight="1">
      <c r="A310" s="34" t="s">
        <v>1035</v>
      </c>
      <c r="B310" s="34">
        <v>1196</v>
      </c>
      <c r="C310" s="34" t="s">
        <v>1036</v>
      </c>
      <c r="D310" s="41">
        <v>45741</v>
      </c>
      <c r="E310" s="34" t="s">
        <v>25</v>
      </c>
      <c r="F310" s="34" t="s">
        <v>1039</v>
      </c>
      <c r="G310" s="34">
        <v>3248301080</v>
      </c>
      <c r="H310" s="34" t="s">
        <v>14</v>
      </c>
      <c r="I310" s="34" t="s">
        <v>1042</v>
      </c>
      <c r="J310" s="47" t="s">
        <v>34</v>
      </c>
      <c r="K310" s="34" t="s">
        <v>241</v>
      </c>
      <c r="L310" s="156"/>
      <c r="M310" s="151"/>
      <c r="N310" s="151"/>
      <c r="O310" s="151"/>
      <c r="P310" s="151"/>
      <c r="Q310" s="151"/>
    </row>
    <row r="311" spans="1:17" ht="14.25" customHeight="1">
      <c r="A311" s="34" t="s">
        <v>1034</v>
      </c>
      <c r="B311" s="40" t="s">
        <v>13</v>
      </c>
      <c r="C311" s="34" t="s">
        <v>1036</v>
      </c>
      <c r="D311" s="41">
        <v>45741</v>
      </c>
      <c r="E311" s="34" t="s">
        <v>25</v>
      </c>
      <c r="F311" s="34" t="s">
        <v>1080</v>
      </c>
      <c r="G311" s="34" t="s">
        <v>826</v>
      </c>
      <c r="H311" s="34" t="s">
        <v>14</v>
      </c>
      <c r="I311" s="34" t="s">
        <v>40</v>
      </c>
      <c r="J311" s="47" t="s">
        <v>34</v>
      </c>
      <c r="K311" s="34" t="s">
        <v>241</v>
      </c>
      <c r="L311" s="156"/>
      <c r="M311" s="151"/>
      <c r="N311" s="151"/>
      <c r="O311" s="151"/>
      <c r="P311" s="151"/>
      <c r="Q311" s="151"/>
    </row>
    <row r="312" spans="1:17" ht="14.25" customHeight="1">
      <c r="A312" s="34" t="s">
        <v>1033</v>
      </c>
      <c r="B312" s="34">
        <v>1191</v>
      </c>
      <c r="C312" s="34" t="s">
        <v>1036</v>
      </c>
      <c r="D312" s="41">
        <v>45741</v>
      </c>
      <c r="E312" s="34" t="s">
        <v>25</v>
      </c>
      <c r="F312" s="34" t="s">
        <v>1038</v>
      </c>
      <c r="G312" s="34" t="s">
        <v>1040</v>
      </c>
      <c r="H312" s="34" t="s">
        <v>14</v>
      </c>
      <c r="I312" s="34" t="s">
        <v>826</v>
      </c>
      <c r="J312" s="47" t="s">
        <v>34</v>
      </c>
      <c r="K312" s="34" t="s">
        <v>241</v>
      </c>
      <c r="L312" s="156"/>
      <c r="M312" s="151"/>
      <c r="N312" s="151"/>
      <c r="O312" s="151"/>
      <c r="P312" s="151"/>
      <c r="Q312" s="151"/>
    </row>
    <row r="313" spans="1:17" ht="14.25" customHeight="1">
      <c r="A313" s="34" t="s">
        <v>1032</v>
      </c>
      <c r="B313" s="34">
        <v>1194</v>
      </c>
      <c r="C313" s="34" t="s">
        <v>1036</v>
      </c>
      <c r="D313" s="41">
        <v>45741</v>
      </c>
      <c r="E313" s="34" t="s">
        <v>25</v>
      </c>
      <c r="F313" s="34" t="s">
        <v>1037</v>
      </c>
      <c r="G313" s="34">
        <v>14381194</v>
      </c>
      <c r="H313" s="34" t="s">
        <v>14</v>
      </c>
      <c r="I313" s="34" t="s">
        <v>1041</v>
      </c>
      <c r="J313" s="47" t="s">
        <v>34</v>
      </c>
      <c r="K313" s="34" t="s">
        <v>241</v>
      </c>
      <c r="L313" s="156"/>
      <c r="M313" s="151"/>
      <c r="N313" s="151"/>
      <c r="O313" s="151"/>
      <c r="P313" s="151"/>
      <c r="Q313" s="151"/>
    </row>
    <row r="314" spans="1:17" ht="14.25" customHeight="1">
      <c r="A314" s="34">
        <v>874</v>
      </c>
      <c r="B314" s="34">
        <v>1192</v>
      </c>
      <c r="C314" s="34" t="s">
        <v>1028</v>
      </c>
      <c r="D314" s="41">
        <v>45741</v>
      </c>
      <c r="E314" s="34" t="s">
        <v>1029</v>
      </c>
      <c r="F314" s="34" t="s">
        <v>1030</v>
      </c>
      <c r="G314" s="34" t="s">
        <v>826</v>
      </c>
      <c r="H314" s="34" t="s">
        <v>1031</v>
      </c>
      <c r="I314" s="34" t="s">
        <v>959</v>
      </c>
      <c r="J314" s="47" t="s">
        <v>34</v>
      </c>
      <c r="K314" s="34" t="s">
        <v>241</v>
      </c>
      <c r="L314" s="156"/>
      <c r="M314" s="151"/>
      <c r="N314" s="151"/>
      <c r="O314" s="151"/>
      <c r="P314" s="151"/>
      <c r="Q314" s="151"/>
    </row>
    <row r="315" spans="1:17" ht="14.25" customHeight="1">
      <c r="A315" s="34">
        <v>873</v>
      </c>
      <c r="B315" s="34">
        <v>1190</v>
      </c>
      <c r="C315" s="34" t="s">
        <v>1024</v>
      </c>
      <c r="D315" s="41">
        <v>45737</v>
      </c>
      <c r="E315" s="34" t="s">
        <v>25</v>
      </c>
      <c r="F315" s="34" t="s">
        <v>1025</v>
      </c>
      <c r="G315" s="34" t="s">
        <v>1026</v>
      </c>
      <c r="H315" s="34" t="s">
        <v>1027</v>
      </c>
      <c r="I315" s="34" t="s">
        <v>23</v>
      </c>
      <c r="J315" s="47" t="s">
        <v>34</v>
      </c>
      <c r="K315" s="34" t="s">
        <v>820</v>
      </c>
      <c r="L315" s="156"/>
      <c r="M315" s="151"/>
      <c r="N315" s="151"/>
      <c r="O315" s="151"/>
      <c r="P315" s="151"/>
      <c r="Q315" s="151"/>
    </row>
    <row r="316" spans="1:17" ht="14.25" customHeight="1">
      <c r="A316" s="34">
        <v>872</v>
      </c>
      <c r="B316" s="34">
        <v>1188</v>
      </c>
      <c r="C316" s="34" t="s">
        <v>1018</v>
      </c>
      <c r="D316" s="41">
        <v>45737</v>
      </c>
      <c r="E316" s="34" t="s">
        <v>747</v>
      </c>
      <c r="F316" s="34" t="s">
        <v>1019</v>
      </c>
      <c r="G316" s="34" t="s">
        <v>1022</v>
      </c>
      <c r="H316" s="34" t="s">
        <v>14</v>
      </c>
      <c r="I316" s="36" t="s">
        <v>1023</v>
      </c>
      <c r="J316" s="47" t="s">
        <v>34</v>
      </c>
      <c r="K316" s="34" t="s">
        <v>241</v>
      </c>
      <c r="L316" s="156"/>
      <c r="M316" s="151"/>
      <c r="N316" s="151"/>
      <c r="O316" s="151"/>
      <c r="P316" s="151"/>
      <c r="Q316" s="151"/>
    </row>
    <row r="317" spans="1:17" ht="14.25" customHeight="1">
      <c r="A317" s="34">
        <v>871</v>
      </c>
      <c r="B317" s="34">
        <v>1189</v>
      </c>
      <c r="C317" s="34" t="s">
        <v>1018</v>
      </c>
      <c r="D317" s="41">
        <v>45736</v>
      </c>
      <c r="E317" s="34" t="s">
        <v>747</v>
      </c>
      <c r="F317" s="34" t="s">
        <v>1019</v>
      </c>
      <c r="G317" s="34" t="s">
        <v>1020</v>
      </c>
      <c r="H317" s="34" t="s">
        <v>14</v>
      </c>
      <c r="I317" s="34" t="s">
        <v>1021</v>
      </c>
      <c r="J317" s="47" t="s">
        <v>34</v>
      </c>
      <c r="K317" s="34" t="s">
        <v>241</v>
      </c>
      <c r="L317" s="156"/>
      <c r="M317" s="151"/>
      <c r="N317" s="151"/>
      <c r="O317" s="151"/>
      <c r="P317" s="151"/>
      <c r="Q317" s="151"/>
    </row>
    <row r="318" spans="1:17" ht="14.25" customHeight="1">
      <c r="A318" s="34">
        <v>870</v>
      </c>
      <c r="B318" s="34">
        <v>1187</v>
      </c>
      <c r="C318" s="34" t="s">
        <v>1015</v>
      </c>
      <c r="D318" s="41">
        <v>45735</v>
      </c>
      <c r="E318" s="34" t="s">
        <v>25</v>
      </c>
      <c r="F318" s="34" t="s">
        <v>897</v>
      </c>
      <c r="G318" s="34" t="s">
        <v>1016</v>
      </c>
      <c r="H318" s="34" t="s">
        <v>899</v>
      </c>
      <c r="I318" s="36" t="s">
        <v>1017</v>
      </c>
      <c r="J318" s="47" t="s">
        <v>34</v>
      </c>
      <c r="K318" s="34" t="s">
        <v>241</v>
      </c>
      <c r="L318" s="156"/>
      <c r="M318" s="151"/>
      <c r="N318" s="151"/>
      <c r="O318" s="151"/>
      <c r="P318" s="151"/>
      <c r="Q318" s="151"/>
    </row>
    <row r="319" spans="1:17" ht="13.5" customHeight="1">
      <c r="A319" s="34">
        <v>869</v>
      </c>
      <c r="B319" s="34">
        <v>1186</v>
      </c>
      <c r="C319" s="34" t="s">
        <v>689</v>
      </c>
      <c r="D319" s="41">
        <v>45733</v>
      </c>
      <c r="E319" s="34" t="s">
        <v>88</v>
      </c>
      <c r="F319" s="34" t="s">
        <v>1013</v>
      </c>
      <c r="G319" s="34" t="s">
        <v>1014</v>
      </c>
      <c r="H319" s="34" t="s">
        <v>14</v>
      </c>
      <c r="I319" s="34" t="s">
        <v>978</v>
      </c>
      <c r="J319" s="47" t="s">
        <v>34</v>
      </c>
      <c r="K319" s="34" t="s">
        <v>241</v>
      </c>
      <c r="L319" s="156"/>
      <c r="M319" s="151"/>
      <c r="N319" s="151"/>
      <c r="O319" s="151"/>
      <c r="P319" s="151"/>
      <c r="Q319" s="151"/>
    </row>
    <row r="320" spans="1:17" ht="14.25" customHeight="1">
      <c r="A320" s="34">
        <v>868</v>
      </c>
      <c r="B320" s="34">
        <v>1230</v>
      </c>
      <c r="C320" s="34" t="s">
        <v>1003</v>
      </c>
      <c r="D320" s="41">
        <v>45724</v>
      </c>
      <c r="E320" s="34" t="s">
        <v>19</v>
      </c>
      <c r="F320" s="34" t="s">
        <v>1011</v>
      </c>
      <c r="G320" s="34" t="s">
        <v>1012</v>
      </c>
      <c r="H320" s="34" t="s">
        <v>14</v>
      </c>
      <c r="I320" s="34"/>
      <c r="J320" s="47" t="s">
        <v>34</v>
      </c>
      <c r="K320" s="34" t="s">
        <v>241</v>
      </c>
      <c r="L320" s="156"/>
      <c r="M320" s="151"/>
      <c r="N320" s="151"/>
      <c r="O320" s="151"/>
      <c r="P320" s="151"/>
      <c r="Q320" s="151"/>
    </row>
    <row r="321" spans="1:23" ht="14.25" customHeight="1">
      <c r="A321" s="34">
        <v>867</v>
      </c>
      <c r="B321" s="34">
        <v>1184</v>
      </c>
      <c r="C321" s="34" t="s">
        <v>1007</v>
      </c>
      <c r="D321" s="41">
        <v>45726</v>
      </c>
      <c r="E321" s="34" t="s">
        <v>25</v>
      </c>
      <c r="F321" s="34" t="s">
        <v>1008</v>
      </c>
      <c r="G321" s="34" t="s">
        <v>1009</v>
      </c>
      <c r="H321" s="34" t="s">
        <v>14</v>
      </c>
      <c r="I321" s="34" t="s">
        <v>1010</v>
      </c>
      <c r="J321" s="47" t="s">
        <v>34</v>
      </c>
      <c r="K321" s="34" t="s">
        <v>241</v>
      </c>
      <c r="L321" s="156"/>
      <c r="M321" s="151"/>
      <c r="N321" s="151"/>
      <c r="O321" s="151"/>
      <c r="P321" s="151"/>
      <c r="Q321" s="151"/>
    </row>
    <row r="322" spans="1:23" ht="14.25" customHeight="1">
      <c r="A322" s="34" t="s">
        <v>1001</v>
      </c>
      <c r="B322" s="34">
        <v>1182</v>
      </c>
      <c r="C322" s="34" t="s">
        <v>1003</v>
      </c>
      <c r="D322" s="41">
        <v>45724</v>
      </c>
      <c r="E322" s="34" t="s">
        <v>19</v>
      </c>
      <c r="F322" s="34" t="s">
        <v>47</v>
      </c>
      <c r="G322" s="34" t="s">
        <v>1005</v>
      </c>
      <c r="H322" s="34" t="s">
        <v>14</v>
      </c>
      <c r="I322" s="34" t="s">
        <v>23</v>
      </c>
      <c r="J322" s="47" t="s">
        <v>34</v>
      </c>
      <c r="K322" s="34" t="s">
        <v>241</v>
      </c>
      <c r="L322" s="156"/>
      <c r="M322" s="151"/>
      <c r="N322" s="151"/>
      <c r="O322" s="151"/>
      <c r="P322" s="151"/>
      <c r="Q322" s="151"/>
    </row>
    <row r="323" spans="1:23" ht="14.25" customHeight="1">
      <c r="A323" s="34" t="s">
        <v>1000</v>
      </c>
      <c r="B323" s="34">
        <v>1183</v>
      </c>
      <c r="C323" s="34" t="s">
        <v>1003</v>
      </c>
      <c r="D323" s="41">
        <v>45724</v>
      </c>
      <c r="E323" s="34" t="s">
        <v>638</v>
      </c>
      <c r="F323" s="34" t="s">
        <v>1002</v>
      </c>
      <c r="G323" s="34" t="s">
        <v>1004</v>
      </c>
      <c r="H323" s="34" t="s">
        <v>14</v>
      </c>
      <c r="I323" s="36" t="s">
        <v>1006</v>
      </c>
      <c r="J323" s="47" t="s">
        <v>34</v>
      </c>
      <c r="K323" s="34" t="s">
        <v>241</v>
      </c>
      <c r="L323" s="156"/>
      <c r="M323" s="151"/>
      <c r="N323" s="151"/>
      <c r="O323" s="151"/>
      <c r="P323" s="151"/>
      <c r="Q323" s="151"/>
    </row>
    <row r="324" spans="1:23" ht="13.9" customHeight="1">
      <c r="A324" s="34">
        <v>865</v>
      </c>
      <c r="B324" s="34">
        <v>1180</v>
      </c>
      <c r="C324" s="34" t="s">
        <v>997</v>
      </c>
      <c r="D324" s="41">
        <v>45723</v>
      </c>
      <c r="E324" s="34" t="s">
        <v>25</v>
      </c>
      <c r="F324" s="34" t="s">
        <v>260</v>
      </c>
      <c r="G324" s="34" t="s">
        <v>998</v>
      </c>
      <c r="H324" s="34" t="s">
        <v>993</v>
      </c>
      <c r="I324" s="34" t="s">
        <v>999</v>
      </c>
      <c r="J324" s="47" t="s">
        <v>34</v>
      </c>
      <c r="K324" s="34" t="s">
        <v>241</v>
      </c>
      <c r="L324" s="156"/>
      <c r="M324" s="151"/>
      <c r="N324" s="151"/>
      <c r="O324" s="151"/>
      <c r="P324" s="151"/>
      <c r="Q324" s="151"/>
    </row>
    <row r="325" spans="1:23" ht="14.25" customHeight="1">
      <c r="A325" s="34" t="s">
        <v>995</v>
      </c>
      <c r="B325" s="34">
        <v>956</v>
      </c>
      <c r="C325" s="34" t="s">
        <v>531</v>
      </c>
      <c r="D325" s="34"/>
      <c r="E325" s="34" t="s">
        <v>19</v>
      </c>
      <c r="F325" s="34" t="s">
        <v>963</v>
      </c>
      <c r="G325" s="34" t="s">
        <v>996</v>
      </c>
      <c r="H325" s="34"/>
      <c r="I325" s="34"/>
      <c r="J325" s="47" t="s">
        <v>34</v>
      </c>
      <c r="K325" s="34" t="s">
        <v>241</v>
      </c>
      <c r="L325" s="156"/>
      <c r="M325" s="151"/>
      <c r="N325" s="151"/>
      <c r="O325" s="151"/>
      <c r="P325" s="151"/>
      <c r="Q325" s="151"/>
    </row>
    <row r="326" spans="1:23" ht="14.25" customHeight="1">
      <c r="A326" s="34">
        <v>863</v>
      </c>
      <c r="B326" s="34">
        <v>1179</v>
      </c>
      <c r="C326" s="34" t="s">
        <v>990</v>
      </c>
      <c r="D326" s="41">
        <v>45721</v>
      </c>
      <c r="E326" s="34" t="s">
        <v>25</v>
      </c>
      <c r="F326" s="34" t="s">
        <v>991</v>
      </c>
      <c r="G326" s="34" t="s">
        <v>992</v>
      </c>
      <c r="H326" s="34" t="s">
        <v>993</v>
      </c>
      <c r="I326" s="36" t="s">
        <v>994</v>
      </c>
      <c r="J326" s="47" t="s">
        <v>34</v>
      </c>
      <c r="K326" s="34" t="s">
        <v>241</v>
      </c>
      <c r="L326" s="156"/>
      <c r="M326" s="151"/>
      <c r="N326" s="151"/>
      <c r="O326" s="151"/>
      <c r="P326" s="151"/>
      <c r="Q326" s="151"/>
    </row>
    <row r="327" spans="1:23" ht="14.25" customHeight="1">
      <c r="A327" s="34">
        <v>862</v>
      </c>
      <c r="B327" s="34">
        <v>1175</v>
      </c>
      <c r="C327" s="37" t="s">
        <v>58</v>
      </c>
      <c r="D327" s="41">
        <v>45713</v>
      </c>
      <c r="E327" s="34" t="s">
        <v>25</v>
      </c>
      <c r="F327" s="34" t="s">
        <v>985</v>
      </c>
      <c r="G327" s="34" t="s">
        <v>986</v>
      </c>
      <c r="H327" s="34" t="s">
        <v>22</v>
      </c>
      <c r="I327" s="34" t="s">
        <v>987</v>
      </c>
      <c r="J327" s="47" t="s">
        <v>34</v>
      </c>
      <c r="K327" s="34" t="s">
        <v>769</v>
      </c>
      <c r="L327" s="156"/>
      <c r="M327" s="151"/>
      <c r="N327" s="151"/>
      <c r="O327" s="151"/>
      <c r="P327" s="151"/>
      <c r="Q327" s="151"/>
    </row>
    <row r="328" spans="1:23" ht="14.25" customHeight="1">
      <c r="A328" s="34">
        <v>861</v>
      </c>
      <c r="B328" s="34">
        <v>1174</v>
      </c>
      <c r="C328" s="34" t="s">
        <v>980</v>
      </c>
      <c r="D328" s="41">
        <v>45713</v>
      </c>
      <c r="E328" s="34" t="s">
        <v>25</v>
      </c>
      <c r="F328" s="34" t="s">
        <v>981</v>
      </c>
      <c r="G328" s="34" t="s">
        <v>982</v>
      </c>
      <c r="H328" s="34" t="s">
        <v>983</v>
      </c>
      <c r="I328" s="34" t="s">
        <v>984</v>
      </c>
      <c r="J328" s="47" t="s">
        <v>34</v>
      </c>
      <c r="K328" s="34" t="s">
        <v>820</v>
      </c>
      <c r="L328" s="156"/>
      <c r="M328" s="151"/>
      <c r="N328" s="151"/>
      <c r="O328" s="151"/>
      <c r="P328" s="151"/>
      <c r="Q328" s="151"/>
      <c r="R328" s="1"/>
      <c r="T328" s="1"/>
      <c r="U328" s="1"/>
      <c r="V328" s="1"/>
      <c r="W328" s="1"/>
    </row>
    <row r="329" spans="1:23" ht="14.25" customHeight="1">
      <c r="A329" s="34">
        <v>860</v>
      </c>
      <c r="B329" s="34">
        <v>1172</v>
      </c>
      <c r="C329" s="34" t="s">
        <v>562</v>
      </c>
      <c r="D329" s="41">
        <v>45708</v>
      </c>
      <c r="E329" s="34" t="s">
        <v>25</v>
      </c>
      <c r="F329" s="34" t="s">
        <v>918</v>
      </c>
      <c r="G329" s="34" t="s">
        <v>979</v>
      </c>
      <c r="H329" s="34" t="s">
        <v>22</v>
      </c>
      <c r="I329" s="34" t="s">
        <v>959</v>
      </c>
      <c r="J329" s="47" t="s">
        <v>34</v>
      </c>
      <c r="K329" s="34" t="s">
        <v>820</v>
      </c>
      <c r="L329" s="156"/>
      <c r="M329" s="151"/>
      <c r="N329" s="151"/>
      <c r="O329" s="151"/>
      <c r="P329" s="151"/>
      <c r="Q329" s="151"/>
      <c r="R329" s="1"/>
      <c r="T329" s="1"/>
      <c r="U329" s="1"/>
      <c r="V329" s="1"/>
      <c r="W329" s="1"/>
    </row>
    <row r="330" spans="1:23" ht="14.25" customHeight="1">
      <c r="A330" s="34" t="s">
        <v>969</v>
      </c>
      <c r="B330" s="34">
        <v>1169</v>
      </c>
      <c r="C330" s="34" t="s">
        <v>971</v>
      </c>
      <c r="D330" s="41">
        <v>45707</v>
      </c>
      <c r="E330" s="34" t="s">
        <v>25</v>
      </c>
      <c r="F330" s="34" t="s">
        <v>246</v>
      </c>
      <c r="G330" s="34" t="s">
        <v>974</v>
      </c>
      <c r="H330" s="34" t="s">
        <v>975</v>
      </c>
      <c r="I330" s="34" t="s">
        <v>978</v>
      </c>
      <c r="J330" s="47" t="s">
        <v>34</v>
      </c>
      <c r="K330" s="34" t="s">
        <v>820</v>
      </c>
      <c r="L330" s="156"/>
      <c r="M330" s="151"/>
      <c r="N330" s="151"/>
      <c r="O330" s="151"/>
      <c r="P330" s="151"/>
      <c r="Q330" s="151"/>
    </row>
    <row r="331" spans="1:23" ht="14.25" customHeight="1">
      <c r="A331" s="34" t="s">
        <v>970</v>
      </c>
      <c r="B331" s="34">
        <v>1173</v>
      </c>
      <c r="C331" s="34" t="s">
        <v>971</v>
      </c>
      <c r="D331" s="41">
        <v>45707</v>
      </c>
      <c r="E331" s="34" t="s">
        <v>25</v>
      </c>
      <c r="F331" s="34" t="s">
        <v>972</v>
      </c>
      <c r="G331" s="34" t="s">
        <v>973</v>
      </c>
      <c r="H331" s="34" t="s">
        <v>975</v>
      </c>
      <c r="I331" s="36" t="s">
        <v>977</v>
      </c>
      <c r="J331" s="73" t="s">
        <v>34</v>
      </c>
      <c r="K331" s="34" t="s">
        <v>820</v>
      </c>
      <c r="L331" s="156"/>
      <c r="M331" s="151"/>
      <c r="N331" s="151"/>
      <c r="O331" s="151"/>
      <c r="P331" s="151"/>
      <c r="Q331" s="151"/>
    </row>
    <row r="332" spans="1:23" ht="14.25" customHeight="1">
      <c r="A332" s="34" t="s">
        <v>962</v>
      </c>
      <c r="B332" s="34">
        <v>1171</v>
      </c>
      <c r="C332" s="34" t="s">
        <v>46</v>
      </c>
      <c r="D332" s="41">
        <v>45706</v>
      </c>
      <c r="E332" s="34" t="s">
        <v>19</v>
      </c>
      <c r="F332" s="34" t="s">
        <v>963</v>
      </c>
      <c r="G332" s="34" t="s">
        <v>966</v>
      </c>
      <c r="H332" s="36" t="s">
        <v>976</v>
      </c>
      <c r="I332" s="36" t="s">
        <v>968</v>
      </c>
      <c r="J332" s="73" t="s">
        <v>34</v>
      </c>
      <c r="K332" s="34" t="s">
        <v>820</v>
      </c>
      <c r="L332" s="156"/>
      <c r="M332" s="151"/>
      <c r="N332" s="151"/>
      <c r="O332" s="151"/>
      <c r="P332" s="151"/>
      <c r="Q332" s="151"/>
    </row>
    <row r="333" spans="1:23" ht="14.25" customHeight="1">
      <c r="A333" s="34" t="s">
        <v>961</v>
      </c>
      <c r="B333" s="34">
        <v>1170</v>
      </c>
      <c r="C333" s="34" t="s">
        <v>46</v>
      </c>
      <c r="D333" s="41">
        <v>45706</v>
      </c>
      <c r="E333" s="34" t="s">
        <v>19</v>
      </c>
      <c r="F333" s="34" t="s">
        <v>964</v>
      </c>
      <c r="G333" s="34" t="s">
        <v>965</v>
      </c>
      <c r="H333" s="36" t="s">
        <v>22</v>
      </c>
      <c r="I333" s="36" t="s">
        <v>967</v>
      </c>
      <c r="J333" s="73" t="s">
        <v>34</v>
      </c>
      <c r="K333" s="34" t="s">
        <v>820</v>
      </c>
      <c r="L333" s="156"/>
      <c r="M333" s="151"/>
      <c r="N333" s="151"/>
      <c r="O333" s="151"/>
      <c r="P333" s="151"/>
      <c r="Q333" s="151"/>
    </row>
    <row r="334" spans="1:23" ht="14.25" customHeight="1">
      <c r="A334" s="34">
        <v>857</v>
      </c>
      <c r="B334" s="34">
        <v>1168</v>
      </c>
      <c r="C334" s="34" t="s">
        <v>957</v>
      </c>
      <c r="D334" s="41">
        <v>45706</v>
      </c>
      <c r="E334" s="34" t="s">
        <v>25</v>
      </c>
      <c r="F334" s="34" t="s">
        <v>960</v>
      </c>
      <c r="G334" s="34" t="s">
        <v>958</v>
      </c>
      <c r="H334" s="34" t="s">
        <v>22</v>
      </c>
      <c r="I334" s="34" t="s">
        <v>959</v>
      </c>
      <c r="J334" s="73" t="s">
        <v>34</v>
      </c>
      <c r="K334" s="34" t="s">
        <v>820</v>
      </c>
      <c r="L334" s="156"/>
      <c r="M334" s="151"/>
      <c r="N334" s="151"/>
      <c r="O334" s="151"/>
      <c r="P334" s="151"/>
      <c r="Q334" s="151"/>
    </row>
    <row r="335" spans="1:23" ht="14.25" customHeight="1">
      <c r="A335" s="34" t="s">
        <v>949</v>
      </c>
      <c r="B335" s="34">
        <v>1165</v>
      </c>
      <c r="C335" s="34" t="s">
        <v>950</v>
      </c>
      <c r="D335" s="41">
        <v>45705</v>
      </c>
      <c r="E335" s="34" t="s">
        <v>954</v>
      </c>
      <c r="F335" s="34" t="s">
        <v>952</v>
      </c>
      <c r="G335" s="34" t="s">
        <v>953</v>
      </c>
      <c r="H335" s="34" t="s">
        <v>22</v>
      </c>
      <c r="I335" s="36" t="s">
        <v>956</v>
      </c>
      <c r="J335" s="47" t="s">
        <v>34</v>
      </c>
      <c r="K335" s="34" t="s">
        <v>769</v>
      </c>
      <c r="L335" s="156"/>
      <c r="M335" s="151"/>
      <c r="N335" s="151"/>
      <c r="O335" s="151"/>
      <c r="P335" s="151"/>
      <c r="Q335" s="151"/>
    </row>
    <row r="336" spans="1:23" ht="14.25" customHeight="1">
      <c r="A336" s="34" t="s">
        <v>948</v>
      </c>
      <c r="B336" s="34">
        <v>1164</v>
      </c>
      <c r="C336" s="34" t="s">
        <v>950</v>
      </c>
      <c r="D336" s="41">
        <v>45705</v>
      </c>
      <c r="E336" s="34" t="s">
        <v>954</v>
      </c>
      <c r="F336" s="34" t="s">
        <v>951</v>
      </c>
      <c r="G336" s="34">
        <v>2021110002</v>
      </c>
      <c r="H336" s="34" t="s">
        <v>22</v>
      </c>
      <c r="I336" s="34" t="s">
        <v>955</v>
      </c>
      <c r="J336" s="47" t="s">
        <v>34</v>
      </c>
      <c r="K336" s="34" t="s">
        <v>769</v>
      </c>
      <c r="L336" s="156"/>
      <c r="M336" s="151"/>
      <c r="N336" s="151"/>
      <c r="O336" s="151"/>
      <c r="P336" s="151"/>
      <c r="Q336" s="151"/>
    </row>
    <row r="337" spans="1:17" ht="14.25" customHeight="1">
      <c r="A337" s="34" t="s">
        <v>944</v>
      </c>
      <c r="B337" s="34">
        <v>1163</v>
      </c>
      <c r="C337" s="34" t="s">
        <v>24</v>
      </c>
      <c r="D337" s="41">
        <v>45705</v>
      </c>
      <c r="E337" s="35" t="s">
        <v>945</v>
      </c>
      <c r="F337" s="34" t="s">
        <v>946</v>
      </c>
      <c r="G337" s="34" t="s">
        <v>13</v>
      </c>
      <c r="H337" s="34" t="s">
        <v>22</v>
      </c>
      <c r="I337" s="34" t="s">
        <v>947</v>
      </c>
      <c r="J337" s="69" t="s">
        <v>50</v>
      </c>
      <c r="K337" s="34" t="s">
        <v>51</v>
      </c>
      <c r="L337" s="156"/>
      <c r="M337" s="151"/>
      <c r="N337" s="151"/>
      <c r="O337" s="151"/>
      <c r="P337" s="151"/>
      <c r="Q337" s="151"/>
    </row>
    <row r="338" spans="1:17" ht="14.25" customHeight="1">
      <c r="A338" s="34" t="s">
        <v>943</v>
      </c>
      <c r="B338" s="34">
        <v>1162</v>
      </c>
      <c r="C338" s="34" t="s">
        <v>24</v>
      </c>
      <c r="D338" s="41">
        <v>45705</v>
      </c>
      <c r="E338" s="35" t="s">
        <v>25</v>
      </c>
      <c r="F338" s="34" t="s">
        <v>260</v>
      </c>
      <c r="G338" s="34" t="s">
        <v>989</v>
      </c>
      <c r="H338" s="34" t="s">
        <v>22</v>
      </c>
      <c r="I338" s="34" t="s">
        <v>27</v>
      </c>
      <c r="J338" s="47" t="s">
        <v>34</v>
      </c>
      <c r="K338" s="34" t="s">
        <v>769</v>
      </c>
      <c r="L338" s="156"/>
      <c r="M338" s="151"/>
      <c r="N338" s="151"/>
      <c r="O338" s="151"/>
      <c r="P338" s="151"/>
      <c r="Q338" s="151"/>
    </row>
    <row r="339" spans="1:17" ht="14.25" customHeight="1">
      <c r="A339" s="34" t="s">
        <v>928</v>
      </c>
      <c r="B339" s="38">
        <v>1161</v>
      </c>
      <c r="C339" s="37" t="s">
        <v>58</v>
      </c>
      <c r="D339" s="41">
        <v>45705</v>
      </c>
      <c r="E339" s="35" t="s">
        <v>25</v>
      </c>
      <c r="F339" s="34" t="s">
        <v>932</v>
      </c>
      <c r="G339" s="34" t="s">
        <v>939</v>
      </c>
      <c r="H339" s="34" t="s">
        <v>22</v>
      </c>
      <c r="I339" s="34" t="s">
        <v>942</v>
      </c>
      <c r="J339" s="47" t="s">
        <v>34</v>
      </c>
      <c r="K339" s="34" t="s">
        <v>820</v>
      </c>
      <c r="L339" s="156"/>
      <c r="M339" s="151"/>
      <c r="N339" s="151"/>
      <c r="O339" s="151"/>
      <c r="P339" s="151"/>
      <c r="Q339" s="151"/>
    </row>
    <row r="340" spans="1:17" ht="14.25" customHeight="1">
      <c r="A340" s="34" t="s">
        <v>929</v>
      </c>
      <c r="B340" s="38">
        <v>1161</v>
      </c>
      <c r="C340" s="37" t="s">
        <v>58</v>
      </c>
      <c r="D340" s="41">
        <v>45705</v>
      </c>
      <c r="E340" s="35" t="s">
        <v>25</v>
      </c>
      <c r="F340" s="34" t="s">
        <v>932</v>
      </c>
      <c r="G340" s="34" t="s">
        <v>938</v>
      </c>
      <c r="H340" s="34" t="s">
        <v>22</v>
      </c>
      <c r="I340" s="35" t="s">
        <v>13</v>
      </c>
      <c r="J340" s="47" t="s">
        <v>34</v>
      </c>
      <c r="K340" s="34" t="s">
        <v>820</v>
      </c>
      <c r="L340" s="156"/>
      <c r="M340" s="151"/>
      <c r="N340" s="151"/>
      <c r="O340" s="151"/>
      <c r="P340" s="151"/>
      <c r="Q340" s="151"/>
    </row>
    <row r="341" spans="1:17" ht="14.25" customHeight="1">
      <c r="A341" s="34" t="s">
        <v>930</v>
      </c>
      <c r="B341" s="38">
        <v>1161</v>
      </c>
      <c r="C341" s="37" t="s">
        <v>58</v>
      </c>
      <c r="D341" s="41">
        <v>45705</v>
      </c>
      <c r="E341" s="35" t="s">
        <v>25</v>
      </c>
      <c r="F341" s="34" t="s">
        <v>933</v>
      </c>
      <c r="G341" s="34" t="s">
        <v>937</v>
      </c>
      <c r="H341" s="34" t="s">
        <v>22</v>
      </c>
      <c r="I341" s="34" t="s">
        <v>941</v>
      </c>
      <c r="J341" s="47" t="s">
        <v>34</v>
      </c>
      <c r="K341" s="34" t="s">
        <v>820</v>
      </c>
      <c r="L341" s="156"/>
      <c r="M341" s="151"/>
      <c r="N341" s="151"/>
      <c r="O341" s="151"/>
      <c r="P341" s="151"/>
      <c r="Q341" s="151"/>
    </row>
    <row r="342" spans="1:17" ht="14.25" customHeight="1">
      <c r="A342" s="34" t="s">
        <v>931</v>
      </c>
      <c r="B342" s="38">
        <v>1161</v>
      </c>
      <c r="C342" s="37" t="s">
        <v>58</v>
      </c>
      <c r="D342" s="41">
        <v>45705</v>
      </c>
      <c r="E342" s="35" t="s">
        <v>25</v>
      </c>
      <c r="F342" s="34" t="s">
        <v>933</v>
      </c>
      <c r="G342" s="34" t="s">
        <v>936</v>
      </c>
      <c r="H342" s="34" t="s">
        <v>22</v>
      </c>
      <c r="I342" s="34" t="s">
        <v>941</v>
      </c>
      <c r="J342" s="47" t="s">
        <v>34</v>
      </c>
      <c r="K342" s="34" t="s">
        <v>820</v>
      </c>
      <c r="L342" s="156"/>
      <c r="M342" s="151"/>
      <c r="N342" s="151"/>
      <c r="O342" s="151"/>
      <c r="P342" s="151"/>
      <c r="Q342" s="151"/>
    </row>
    <row r="343" spans="1:17" ht="14.25" customHeight="1">
      <c r="A343" s="34" t="s">
        <v>927</v>
      </c>
      <c r="B343" s="38">
        <v>1161</v>
      </c>
      <c r="C343" s="37" t="s">
        <v>58</v>
      </c>
      <c r="D343" s="41">
        <v>45705</v>
      </c>
      <c r="E343" s="35" t="s">
        <v>25</v>
      </c>
      <c r="F343" s="34" t="s">
        <v>933</v>
      </c>
      <c r="G343" s="34" t="s">
        <v>935</v>
      </c>
      <c r="H343" s="34" t="s">
        <v>22</v>
      </c>
      <c r="I343" s="34" t="s">
        <v>941</v>
      </c>
      <c r="J343" s="47" t="s">
        <v>34</v>
      </c>
      <c r="K343" s="34" t="s">
        <v>820</v>
      </c>
      <c r="L343" s="156"/>
      <c r="M343" s="151"/>
      <c r="N343" s="151"/>
      <c r="O343" s="151"/>
      <c r="P343" s="151"/>
      <c r="Q343" s="151"/>
    </row>
    <row r="344" spans="1:17" ht="14.25" customHeight="1">
      <c r="A344" s="34" t="s">
        <v>926</v>
      </c>
      <c r="B344" s="38">
        <v>1161</v>
      </c>
      <c r="C344" s="37" t="s">
        <v>58</v>
      </c>
      <c r="D344" s="41">
        <v>45705</v>
      </c>
      <c r="E344" s="35" t="s">
        <v>25</v>
      </c>
      <c r="F344" s="34" t="s">
        <v>932</v>
      </c>
      <c r="G344" s="34" t="s">
        <v>934</v>
      </c>
      <c r="H344" s="34" t="s">
        <v>22</v>
      </c>
      <c r="I344" s="34" t="s">
        <v>940</v>
      </c>
      <c r="J344" s="47" t="s">
        <v>34</v>
      </c>
      <c r="K344" s="34" t="s">
        <v>820</v>
      </c>
      <c r="L344" s="156"/>
      <c r="M344" s="151"/>
      <c r="N344" s="151"/>
      <c r="O344" s="151"/>
      <c r="P344" s="151"/>
      <c r="Q344" s="151"/>
    </row>
    <row r="345" spans="1:17" ht="14.25" customHeight="1">
      <c r="A345" s="34">
        <v>852</v>
      </c>
      <c r="B345" s="34">
        <v>1167</v>
      </c>
      <c r="C345" s="34" t="s">
        <v>921</v>
      </c>
      <c r="D345" s="41">
        <v>45702</v>
      </c>
      <c r="E345" s="35" t="s">
        <v>25</v>
      </c>
      <c r="F345" s="34" t="s">
        <v>922</v>
      </c>
      <c r="G345" s="34" t="s">
        <v>923</v>
      </c>
      <c r="H345" s="34" t="s">
        <v>924</v>
      </c>
      <c r="I345" s="36" t="s">
        <v>925</v>
      </c>
      <c r="J345" s="47" t="s">
        <v>34</v>
      </c>
      <c r="K345" s="34" t="s">
        <v>769</v>
      </c>
      <c r="L345" s="156"/>
      <c r="M345" s="151"/>
      <c r="N345" s="151"/>
      <c r="O345" s="151"/>
      <c r="P345" s="151"/>
      <c r="Q345" s="151"/>
    </row>
    <row r="346" spans="1:17" ht="14.25" customHeight="1">
      <c r="A346" s="34">
        <v>853</v>
      </c>
      <c r="B346" s="34">
        <v>1166</v>
      </c>
      <c r="C346" s="34" t="s">
        <v>917</v>
      </c>
      <c r="D346" s="41">
        <v>45702</v>
      </c>
      <c r="E346" s="35" t="s">
        <v>25</v>
      </c>
      <c r="F346" s="34" t="s">
        <v>918</v>
      </c>
      <c r="G346" s="34" t="s">
        <v>919</v>
      </c>
      <c r="H346" s="34" t="s">
        <v>899</v>
      </c>
      <c r="I346" s="36" t="s">
        <v>920</v>
      </c>
      <c r="J346" s="47" t="s">
        <v>34</v>
      </c>
      <c r="K346" s="34" t="s">
        <v>820</v>
      </c>
      <c r="L346" s="156"/>
      <c r="M346" s="151"/>
      <c r="N346" s="151"/>
      <c r="O346" s="151"/>
      <c r="P346" s="151"/>
      <c r="Q346" s="151"/>
    </row>
    <row r="347" spans="1:17" ht="14.25" customHeight="1">
      <c r="A347" s="34" t="s">
        <v>914</v>
      </c>
      <c r="B347" s="34" t="s">
        <v>13</v>
      </c>
      <c r="C347" s="37" t="s">
        <v>58</v>
      </c>
      <c r="D347" s="41">
        <v>45700</v>
      </c>
      <c r="E347" s="35" t="s">
        <v>25</v>
      </c>
      <c r="F347" s="34" t="s">
        <v>59</v>
      </c>
      <c r="G347" s="34" t="s">
        <v>13</v>
      </c>
      <c r="H347" s="34" t="s">
        <v>22</v>
      </c>
      <c r="I347" s="35" t="s">
        <v>13</v>
      </c>
      <c r="J347" s="47" t="s">
        <v>34</v>
      </c>
      <c r="K347" s="34" t="s">
        <v>820</v>
      </c>
      <c r="L347" s="156"/>
      <c r="M347" s="151"/>
      <c r="N347" s="151"/>
      <c r="O347" s="151"/>
      <c r="P347" s="151"/>
      <c r="Q347" s="151"/>
    </row>
    <row r="348" spans="1:17" ht="14.25" customHeight="1">
      <c r="A348" s="34" t="s">
        <v>915</v>
      </c>
      <c r="B348" s="34" t="s">
        <v>13</v>
      </c>
      <c r="C348" s="37" t="s">
        <v>58</v>
      </c>
      <c r="D348" s="41">
        <v>45700</v>
      </c>
      <c r="E348" s="35" t="s">
        <v>25</v>
      </c>
      <c r="F348" s="34" t="s">
        <v>59</v>
      </c>
      <c r="G348" s="34" t="s">
        <v>13</v>
      </c>
      <c r="H348" s="34" t="s">
        <v>22</v>
      </c>
      <c r="I348" s="36" t="s">
        <v>61</v>
      </c>
      <c r="J348" s="47" t="s">
        <v>34</v>
      </c>
      <c r="K348" s="34" t="s">
        <v>820</v>
      </c>
      <c r="L348" s="156"/>
      <c r="M348" s="151"/>
      <c r="N348" s="151"/>
      <c r="O348" s="151"/>
      <c r="P348" s="151"/>
      <c r="Q348" s="151"/>
    </row>
    <row r="349" spans="1:17" ht="14.25" customHeight="1">
      <c r="A349" s="34" t="s">
        <v>913</v>
      </c>
      <c r="B349" s="34" t="s">
        <v>13</v>
      </c>
      <c r="C349" s="37" t="s">
        <v>58</v>
      </c>
      <c r="D349" s="41">
        <v>45700</v>
      </c>
      <c r="E349" s="35" t="s">
        <v>25</v>
      </c>
      <c r="F349" s="34" t="s">
        <v>59</v>
      </c>
      <c r="G349" s="34" t="s">
        <v>13</v>
      </c>
      <c r="H349" s="34" t="s">
        <v>22</v>
      </c>
      <c r="I349" s="36" t="s">
        <v>61</v>
      </c>
      <c r="J349" s="47" t="s">
        <v>34</v>
      </c>
      <c r="K349" s="34" t="s">
        <v>820</v>
      </c>
      <c r="L349" s="156"/>
      <c r="M349" s="151"/>
      <c r="N349" s="151"/>
      <c r="O349" s="151"/>
      <c r="P349" s="151"/>
      <c r="Q349" s="151"/>
    </row>
    <row r="350" spans="1:17" ht="14.25" customHeight="1">
      <c r="A350" s="34" t="s">
        <v>912</v>
      </c>
      <c r="B350" s="34" t="s">
        <v>13</v>
      </c>
      <c r="C350" s="37" t="s">
        <v>58</v>
      </c>
      <c r="D350" s="41">
        <v>45700</v>
      </c>
      <c r="E350" s="35" t="s">
        <v>25</v>
      </c>
      <c r="F350" s="34" t="s">
        <v>988</v>
      </c>
      <c r="G350" s="34" t="s">
        <v>13</v>
      </c>
      <c r="H350" s="34" t="s">
        <v>22</v>
      </c>
      <c r="I350" s="36" t="s">
        <v>916</v>
      </c>
      <c r="J350" s="47" t="s">
        <v>34</v>
      </c>
      <c r="K350" s="34" t="s">
        <v>820</v>
      </c>
      <c r="L350" s="156"/>
      <c r="M350" s="151"/>
      <c r="N350" s="151"/>
      <c r="O350" s="151"/>
      <c r="P350" s="151"/>
      <c r="Q350" s="151"/>
    </row>
    <row r="351" spans="1:17" ht="14.25" customHeight="1">
      <c r="A351" s="34">
        <v>850</v>
      </c>
      <c r="B351" s="34">
        <v>1155</v>
      </c>
      <c r="C351" s="34" t="s">
        <v>201</v>
      </c>
      <c r="D351" s="41">
        <v>45700</v>
      </c>
      <c r="E351" s="35" t="s">
        <v>25</v>
      </c>
      <c r="F351" s="34" t="s">
        <v>909</v>
      </c>
      <c r="G351" s="34">
        <v>445800881</v>
      </c>
      <c r="H351" s="34" t="s">
        <v>910</v>
      </c>
      <c r="I351" s="36" t="s">
        <v>911</v>
      </c>
      <c r="J351" s="47" t="s">
        <v>34</v>
      </c>
      <c r="K351" s="34" t="s">
        <v>820</v>
      </c>
      <c r="L351" s="156"/>
      <c r="M351" s="151"/>
      <c r="N351" s="151"/>
      <c r="O351" s="151"/>
      <c r="P351" s="151"/>
      <c r="Q351" s="151"/>
    </row>
    <row r="352" spans="1:17" ht="14.25" customHeight="1">
      <c r="A352" s="34">
        <v>849</v>
      </c>
      <c r="B352" s="34" t="s">
        <v>13</v>
      </c>
      <c r="C352" s="34" t="s">
        <v>905</v>
      </c>
      <c r="D352" s="41">
        <v>45700</v>
      </c>
      <c r="E352" s="35" t="s">
        <v>25</v>
      </c>
      <c r="F352" s="34" t="s">
        <v>906</v>
      </c>
      <c r="G352" s="34" t="s">
        <v>907</v>
      </c>
      <c r="H352" s="34" t="s">
        <v>899</v>
      </c>
      <c r="I352" s="36" t="s">
        <v>908</v>
      </c>
      <c r="J352" s="47" t="s">
        <v>34</v>
      </c>
      <c r="K352" s="34" t="s">
        <v>820</v>
      </c>
      <c r="L352" s="156"/>
      <c r="M352" s="151"/>
      <c r="N352" s="151"/>
      <c r="O352" s="151"/>
      <c r="P352" s="151"/>
      <c r="Q352" s="151"/>
    </row>
    <row r="353" spans="1:17" ht="14.25" customHeight="1">
      <c r="A353" s="34">
        <v>848</v>
      </c>
      <c r="B353" s="34">
        <v>1154</v>
      </c>
      <c r="C353" s="34" t="s">
        <v>901</v>
      </c>
      <c r="D353" s="41">
        <v>45699</v>
      </c>
      <c r="E353" s="35" t="s">
        <v>25</v>
      </c>
      <c r="F353" s="34" t="s">
        <v>902</v>
      </c>
      <c r="G353" s="34" t="s">
        <v>903</v>
      </c>
      <c r="H353" s="34" t="s">
        <v>899</v>
      </c>
      <c r="I353" s="34" t="s">
        <v>904</v>
      </c>
      <c r="J353" s="47" t="s">
        <v>34</v>
      </c>
      <c r="K353" s="34" t="s">
        <v>820</v>
      </c>
      <c r="L353" s="156"/>
      <c r="M353" s="151"/>
      <c r="N353" s="151"/>
      <c r="O353" s="151"/>
      <c r="P353" s="151"/>
      <c r="Q353" s="151"/>
    </row>
    <row r="354" spans="1:17" ht="14.25" customHeight="1">
      <c r="A354" s="34">
        <v>847</v>
      </c>
      <c r="B354" s="34">
        <v>1152</v>
      </c>
      <c r="C354" s="34" t="s">
        <v>896</v>
      </c>
      <c r="D354" s="41">
        <v>45698</v>
      </c>
      <c r="E354" s="35" t="s">
        <v>25</v>
      </c>
      <c r="F354" s="34" t="s">
        <v>897</v>
      </c>
      <c r="G354" s="34" t="s">
        <v>898</v>
      </c>
      <c r="H354" s="34" t="s">
        <v>899</v>
      </c>
      <c r="I354" s="36" t="s">
        <v>900</v>
      </c>
      <c r="J354" s="47" t="s">
        <v>34</v>
      </c>
      <c r="K354" s="34" t="s">
        <v>820</v>
      </c>
      <c r="L354" s="156"/>
      <c r="M354" s="151"/>
      <c r="N354" s="151"/>
      <c r="O354" s="151"/>
      <c r="P354" s="151"/>
      <c r="Q354" s="151"/>
    </row>
    <row r="355" spans="1:17" ht="14.25" customHeight="1">
      <c r="A355" s="34">
        <v>846</v>
      </c>
      <c r="B355" s="34">
        <v>1153</v>
      </c>
      <c r="C355" s="34" t="s">
        <v>893</v>
      </c>
      <c r="D355" s="41">
        <v>45698</v>
      </c>
      <c r="E355" s="35" t="s">
        <v>25</v>
      </c>
      <c r="F355" s="34" t="s">
        <v>13</v>
      </c>
      <c r="G355" s="34" t="s">
        <v>13</v>
      </c>
      <c r="H355" s="34" t="s">
        <v>894</v>
      </c>
      <c r="I355" s="36" t="s">
        <v>895</v>
      </c>
      <c r="J355" s="47" t="s">
        <v>34</v>
      </c>
      <c r="K355" s="34" t="s">
        <v>820</v>
      </c>
      <c r="L355" s="156"/>
      <c r="M355" s="151"/>
      <c r="N355" s="151"/>
      <c r="O355" s="151"/>
      <c r="P355" s="151"/>
      <c r="Q355" s="151"/>
    </row>
    <row r="356" spans="1:17" ht="14.25" customHeight="1">
      <c r="A356" s="34">
        <v>826</v>
      </c>
      <c r="B356" s="34">
        <v>1146</v>
      </c>
      <c r="C356" s="34" t="s">
        <v>24</v>
      </c>
      <c r="D356" s="41">
        <v>45652</v>
      </c>
      <c r="E356" s="34" t="s">
        <v>19</v>
      </c>
      <c r="F356" s="34" t="s">
        <v>513</v>
      </c>
      <c r="G356" s="34" t="s">
        <v>197</v>
      </c>
      <c r="H356" s="34" t="s">
        <v>891</v>
      </c>
      <c r="I356" s="34" t="s">
        <v>892</v>
      </c>
      <c r="J356" s="74" t="s">
        <v>50</v>
      </c>
      <c r="K356" s="34" t="s">
        <v>51</v>
      </c>
      <c r="L356" s="156"/>
      <c r="M356" s="151"/>
      <c r="N356" s="151"/>
      <c r="O356" s="151"/>
      <c r="P356" s="151"/>
      <c r="Q356" s="151"/>
    </row>
    <row r="357" spans="1:17" ht="14.25" customHeight="1">
      <c r="A357" s="34">
        <v>845</v>
      </c>
      <c r="B357" s="34">
        <v>1149</v>
      </c>
      <c r="C357" s="37" t="s">
        <v>886</v>
      </c>
      <c r="D357" s="75">
        <v>45696</v>
      </c>
      <c r="E357" s="35" t="s">
        <v>887</v>
      </c>
      <c r="F357" s="35" t="s">
        <v>888</v>
      </c>
      <c r="G357" s="34" t="s">
        <v>889</v>
      </c>
      <c r="H357" s="35" t="s">
        <v>68</v>
      </c>
      <c r="I357" s="35" t="s">
        <v>890</v>
      </c>
      <c r="J357" s="47" t="s">
        <v>34</v>
      </c>
      <c r="K357" s="34" t="s">
        <v>35</v>
      </c>
      <c r="L357" s="156"/>
      <c r="M357" s="151"/>
      <c r="N357" s="151"/>
      <c r="O357" s="151"/>
      <c r="P357" s="151"/>
      <c r="Q357" s="151"/>
    </row>
    <row r="358" spans="1:17" ht="14.25" customHeight="1">
      <c r="A358" s="34">
        <v>844</v>
      </c>
      <c r="B358" s="34">
        <v>1151</v>
      </c>
      <c r="C358" s="37" t="s">
        <v>10</v>
      </c>
      <c r="D358" s="75">
        <v>45695</v>
      </c>
      <c r="E358" s="35" t="s">
        <v>11</v>
      </c>
      <c r="F358" s="35" t="s">
        <v>12</v>
      </c>
      <c r="G358" s="34" t="s">
        <v>13</v>
      </c>
      <c r="H358" s="35" t="s">
        <v>14</v>
      </c>
      <c r="I358" s="35" t="s">
        <v>15</v>
      </c>
      <c r="J358" s="73" t="s">
        <v>34</v>
      </c>
      <c r="K358" s="34" t="s">
        <v>820</v>
      </c>
      <c r="L358" s="156"/>
      <c r="M358" s="151"/>
      <c r="N358" s="151"/>
      <c r="O358" s="151"/>
      <c r="P358" s="151"/>
      <c r="Q358" s="151"/>
    </row>
    <row r="359" spans="1:17" ht="14.25" customHeight="1">
      <c r="A359" s="34">
        <v>843</v>
      </c>
      <c r="B359" s="34">
        <v>1143</v>
      </c>
      <c r="C359" s="37" t="s">
        <v>18</v>
      </c>
      <c r="D359" s="75">
        <v>45695</v>
      </c>
      <c r="E359" s="35" t="s">
        <v>19</v>
      </c>
      <c r="F359" s="35" t="s">
        <v>20</v>
      </c>
      <c r="G359" s="34" t="s">
        <v>21</v>
      </c>
      <c r="H359" s="35" t="s">
        <v>22</v>
      </c>
      <c r="I359" s="35" t="s">
        <v>23</v>
      </c>
      <c r="J359" s="73" t="s">
        <v>34</v>
      </c>
      <c r="K359" s="34" t="s">
        <v>820</v>
      </c>
      <c r="L359" s="156"/>
      <c r="M359" s="151"/>
      <c r="N359" s="151"/>
      <c r="O359" s="151"/>
      <c r="P359" s="151"/>
      <c r="Q359" s="151"/>
    </row>
    <row r="360" spans="1:17" ht="14.25" customHeight="1">
      <c r="A360" s="34">
        <v>842</v>
      </c>
      <c r="B360" s="34">
        <v>1145</v>
      </c>
      <c r="C360" s="37" t="s">
        <v>24</v>
      </c>
      <c r="D360" s="75">
        <v>45694</v>
      </c>
      <c r="E360" s="35" t="s">
        <v>25</v>
      </c>
      <c r="F360" s="35" t="s">
        <v>26</v>
      </c>
      <c r="G360" s="34" t="s">
        <v>70</v>
      </c>
      <c r="H360" s="35" t="s">
        <v>14</v>
      </c>
      <c r="I360" s="35" t="s">
        <v>27</v>
      </c>
      <c r="J360" s="73" t="s">
        <v>34</v>
      </c>
      <c r="K360" s="34" t="s">
        <v>35</v>
      </c>
      <c r="L360" s="156"/>
      <c r="M360" s="151"/>
      <c r="N360" s="151"/>
      <c r="O360" s="151"/>
      <c r="P360" s="151"/>
      <c r="Q360" s="151"/>
    </row>
    <row r="361" spans="1:17" ht="14.25" customHeight="1">
      <c r="A361" s="34">
        <v>839</v>
      </c>
      <c r="B361" s="34" t="s">
        <v>13</v>
      </c>
      <c r="C361" s="37" t="s">
        <v>28</v>
      </c>
      <c r="D361" s="75">
        <v>45692</v>
      </c>
      <c r="E361" s="35" t="s">
        <v>29</v>
      </c>
      <c r="F361" s="35" t="s">
        <v>30</v>
      </c>
      <c r="G361" s="34" t="s">
        <v>31</v>
      </c>
      <c r="H361" s="35" t="s">
        <v>32</v>
      </c>
      <c r="I361" s="35" t="s">
        <v>33</v>
      </c>
      <c r="J361" s="47" t="s">
        <v>34</v>
      </c>
      <c r="K361" s="34" t="s">
        <v>35</v>
      </c>
      <c r="L361" s="156"/>
      <c r="M361" s="151"/>
      <c r="N361" s="151"/>
      <c r="O361" s="151"/>
      <c r="P361" s="151"/>
      <c r="Q361" s="151"/>
    </row>
    <row r="362" spans="1:17" ht="14.25" customHeight="1">
      <c r="A362" s="34" t="s">
        <v>36</v>
      </c>
      <c r="B362" s="34">
        <v>1148</v>
      </c>
      <c r="C362" s="37" t="s">
        <v>37</v>
      </c>
      <c r="D362" s="75">
        <v>45692</v>
      </c>
      <c r="E362" s="35" t="s">
        <v>38</v>
      </c>
      <c r="F362" s="35" t="s">
        <v>39</v>
      </c>
      <c r="G362" s="34">
        <v>59535050</v>
      </c>
      <c r="H362" s="35" t="s">
        <v>22</v>
      </c>
      <c r="I362" s="35" t="s">
        <v>40</v>
      </c>
      <c r="J362" s="74" t="s">
        <v>50</v>
      </c>
      <c r="K362" s="34" t="s">
        <v>51</v>
      </c>
      <c r="L362" s="156"/>
      <c r="M362" s="151"/>
      <c r="N362" s="151"/>
      <c r="O362" s="151"/>
      <c r="P362" s="151"/>
      <c r="Q362" s="151"/>
    </row>
    <row r="363" spans="1:17" ht="14.25" customHeight="1">
      <c r="A363" s="34" t="s">
        <v>41</v>
      </c>
      <c r="B363" s="34">
        <v>1150</v>
      </c>
      <c r="C363" s="37" t="s">
        <v>37</v>
      </c>
      <c r="D363" s="75">
        <v>45692</v>
      </c>
      <c r="E363" s="35" t="s">
        <v>42</v>
      </c>
      <c r="F363" s="35" t="s">
        <v>43</v>
      </c>
      <c r="G363" s="34">
        <v>811690</v>
      </c>
      <c r="H363" s="35" t="s">
        <v>22</v>
      </c>
      <c r="I363" s="35" t="s">
        <v>44</v>
      </c>
      <c r="J363" s="47" t="s">
        <v>34</v>
      </c>
      <c r="K363" s="34" t="s">
        <v>35</v>
      </c>
      <c r="L363" s="156"/>
      <c r="M363" s="151"/>
      <c r="N363" s="151"/>
      <c r="O363" s="151"/>
      <c r="P363" s="151"/>
      <c r="Q363" s="151"/>
    </row>
    <row r="364" spans="1:17" ht="14.25" customHeight="1">
      <c r="A364" s="34" t="s">
        <v>45</v>
      </c>
      <c r="B364" s="34">
        <v>1143</v>
      </c>
      <c r="C364" s="37" t="s">
        <v>46</v>
      </c>
      <c r="D364" s="75">
        <v>45692</v>
      </c>
      <c r="E364" s="35" t="s">
        <v>19</v>
      </c>
      <c r="F364" s="35" t="s">
        <v>47</v>
      </c>
      <c r="G364" s="34" t="s">
        <v>48</v>
      </c>
      <c r="H364" s="35" t="s">
        <v>14</v>
      </c>
      <c r="I364" s="35" t="s">
        <v>49</v>
      </c>
      <c r="J364" s="47" t="s">
        <v>34</v>
      </c>
      <c r="K364" s="34" t="s">
        <v>35</v>
      </c>
      <c r="L364" s="156"/>
      <c r="M364" s="151"/>
      <c r="N364" s="151"/>
      <c r="O364" s="151"/>
      <c r="P364" s="151"/>
      <c r="Q364" s="151"/>
    </row>
    <row r="365" spans="1:17" ht="14.25" customHeight="1">
      <c r="A365" s="34" t="s">
        <v>52</v>
      </c>
      <c r="B365" s="34">
        <v>1144</v>
      </c>
      <c r="C365" s="37" t="s">
        <v>46</v>
      </c>
      <c r="D365" s="75">
        <v>45692</v>
      </c>
      <c r="E365" s="35" t="s">
        <v>19</v>
      </c>
      <c r="F365" s="35" t="s">
        <v>53</v>
      </c>
      <c r="G365" s="34" t="s">
        <v>54</v>
      </c>
      <c r="H365" s="35" t="s">
        <v>55</v>
      </c>
      <c r="I365" s="35" t="s">
        <v>56</v>
      </c>
      <c r="J365" s="47" t="s">
        <v>34</v>
      </c>
      <c r="K365" s="34" t="s">
        <v>35</v>
      </c>
      <c r="L365" s="156"/>
      <c r="M365" s="151"/>
      <c r="N365" s="151"/>
      <c r="O365" s="151"/>
      <c r="P365" s="151"/>
      <c r="Q365" s="151"/>
    </row>
    <row r="366" spans="1:17" ht="14.25" customHeight="1">
      <c r="A366" s="34" t="s">
        <v>57</v>
      </c>
      <c r="B366" s="34" t="s">
        <v>13</v>
      </c>
      <c r="C366" s="37" t="s">
        <v>58</v>
      </c>
      <c r="D366" s="75">
        <v>45668</v>
      </c>
      <c r="E366" s="35" t="s">
        <v>25</v>
      </c>
      <c r="F366" s="35" t="s">
        <v>59</v>
      </c>
      <c r="G366" s="34" t="s">
        <v>13</v>
      </c>
      <c r="H366" s="35" t="s">
        <v>22</v>
      </c>
      <c r="I366" s="35" t="s">
        <v>13</v>
      </c>
      <c r="J366" s="47" t="s">
        <v>34</v>
      </c>
      <c r="K366" s="34" t="s">
        <v>35</v>
      </c>
      <c r="L366" s="156"/>
      <c r="M366" s="151"/>
      <c r="N366" s="151"/>
      <c r="O366" s="151"/>
      <c r="P366" s="151"/>
      <c r="Q366" s="151"/>
    </row>
    <row r="367" spans="1:17" ht="16.5" customHeight="1">
      <c r="A367" s="34" t="s">
        <v>60</v>
      </c>
      <c r="B367" s="34" t="s">
        <v>13</v>
      </c>
      <c r="C367" s="37" t="s">
        <v>58</v>
      </c>
      <c r="D367" s="75">
        <v>45668</v>
      </c>
      <c r="E367" s="35" t="s">
        <v>25</v>
      </c>
      <c r="F367" s="35" t="s">
        <v>59</v>
      </c>
      <c r="G367" s="34" t="s">
        <v>13</v>
      </c>
      <c r="H367" s="35" t="s">
        <v>22</v>
      </c>
      <c r="I367" s="35" t="s">
        <v>61</v>
      </c>
      <c r="J367" s="47" t="s">
        <v>34</v>
      </c>
      <c r="K367" s="34" t="s">
        <v>35</v>
      </c>
      <c r="L367" s="156"/>
      <c r="M367" s="151"/>
      <c r="N367" s="151"/>
      <c r="O367" s="151"/>
      <c r="P367" s="151"/>
      <c r="Q367" s="151"/>
    </row>
    <row r="368" spans="1:17" ht="14.25" customHeight="1">
      <c r="A368" s="34" t="s">
        <v>62</v>
      </c>
      <c r="B368" s="34" t="s">
        <v>13</v>
      </c>
      <c r="C368" s="37" t="s">
        <v>58</v>
      </c>
      <c r="D368" s="75">
        <v>45668</v>
      </c>
      <c r="E368" s="35" t="s">
        <v>25</v>
      </c>
      <c r="F368" s="35" t="s">
        <v>59</v>
      </c>
      <c r="G368" s="34" t="s">
        <v>13</v>
      </c>
      <c r="H368" s="35" t="s">
        <v>22</v>
      </c>
      <c r="I368" s="35" t="s">
        <v>61</v>
      </c>
      <c r="J368" s="47" t="s">
        <v>34</v>
      </c>
      <c r="K368" s="34" t="s">
        <v>35</v>
      </c>
      <c r="L368" s="156"/>
      <c r="M368" s="151"/>
      <c r="N368" s="151"/>
      <c r="O368" s="151"/>
      <c r="P368" s="151"/>
      <c r="Q368" s="151"/>
    </row>
    <row r="369" spans="1:17" ht="14.25" customHeight="1">
      <c r="A369" s="34" t="s">
        <v>63</v>
      </c>
      <c r="B369" s="34" t="s">
        <v>13</v>
      </c>
      <c r="C369" s="37" t="s">
        <v>58</v>
      </c>
      <c r="D369" s="75">
        <v>45668</v>
      </c>
      <c r="E369" s="35" t="s">
        <v>25</v>
      </c>
      <c r="F369" s="35" t="s">
        <v>59</v>
      </c>
      <c r="G369" s="34" t="s">
        <v>13</v>
      </c>
      <c r="H369" s="35" t="s">
        <v>22</v>
      </c>
      <c r="I369" s="35" t="s">
        <v>61</v>
      </c>
      <c r="J369" s="47" t="s">
        <v>34</v>
      </c>
      <c r="K369" s="34" t="s">
        <v>35</v>
      </c>
      <c r="L369" s="156"/>
      <c r="M369" s="151"/>
      <c r="N369" s="151"/>
      <c r="O369" s="151"/>
      <c r="P369" s="151"/>
      <c r="Q369" s="151"/>
    </row>
    <row r="370" spans="1:17" ht="14.25" customHeight="1">
      <c r="A370" s="34">
        <v>838</v>
      </c>
      <c r="B370" s="34">
        <v>1142</v>
      </c>
      <c r="C370" s="37" t="s">
        <v>64</v>
      </c>
      <c r="D370" s="75">
        <v>45691</v>
      </c>
      <c r="E370" s="35" t="s">
        <v>65</v>
      </c>
      <c r="F370" s="35" t="s">
        <v>66</v>
      </c>
      <c r="G370" s="36" t="s">
        <v>67</v>
      </c>
      <c r="H370" s="35" t="s">
        <v>68</v>
      </c>
      <c r="I370" s="35" t="s">
        <v>69</v>
      </c>
      <c r="J370" s="47" t="s">
        <v>34</v>
      </c>
      <c r="K370" s="34" t="s">
        <v>35</v>
      </c>
      <c r="L370" s="156"/>
      <c r="M370" s="151"/>
      <c r="N370" s="151"/>
      <c r="O370" s="173" t="s">
        <v>2086</v>
      </c>
      <c r="P370" s="151"/>
      <c r="Q370" s="162" t="s">
        <v>1948</v>
      </c>
    </row>
    <row r="371" spans="1:17" ht="14.25" customHeight="1">
      <c r="A371" s="34">
        <v>836</v>
      </c>
      <c r="B371" s="34">
        <v>1141</v>
      </c>
      <c r="C371" s="37" t="s">
        <v>71</v>
      </c>
      <c r="D371" s="75">
        <v>45684</v>
      </c>
      <c r="E371" s="35" t="s">
        <v>25</v>
      </c>
      <c r="F371" s="35" t="s">
        <v>72</v>
      </c>
      <c r="G371" s="34" t="s">
        <v>73</v>
      </c>
      <c r="H371" s="35" t="s">
        <v>74</v>
      </c>
      <c r="I371" s="35" t="s">
        <v>75</v>
      </c>
      <c r="J371" s="47" t="s">
        <v>34</v>
      </c>
      <c r="K371" s="34" t="s">
        <v>35</v>
      </c>
      <c r="L371" s="156"/>
      <c r="M371" s="151"/>
      <c r="N371" s="151"/>
      <c r="O371" s="151"/>
      <c r="P371" s="151"/>
      <c r="Q371" s="151"/>
    </row>
    <row r="372" spans="1:17" ht="14.25" customHeight="1">
      <c r="A372" s="34" t="s">
        <v>76</v>
      </c>
      <c r="B372" s="34">
        <v>1140</v>
      </c>
      <c r="C372" s="37" t="s">
        <v>77</v>
      </c>
      <c r="D372" s="75">
        <v>45679</v>
      </c>
      <c r="E372" s="35" t="s">
        <v>19</v>
      </c>
      <c r="F372" s="35" t="s">
        <v>78</v>
      </c>
      <c r="G372" s="34" t="s">
        <v>79</v>
      </c>
      <c r="H372" s="35" t="s">
        <v>80</v>
      </c>
      <c r="I372" s="35" t="s">
        <v>81</v>
      </c>
      <c r="J372" s="47" t="s">
        <v>34</v>
      </c>
      <c r="K372" s="34" t="s">
        <v>35</v>
      </c>
      <c r="L372" s="156"/>
      <c r="M372" s="151"/>
      <c r="N372" s="151"/>
      <c r="O372" s="151"/>
      <c r="P372" s="151"/>
      <c r="Q372" s="151"/>
    </row>
    <row r="373" spans="1:17" ht="14.25" customHeight="1">
      <c r="A373" s="34" t="s">
        <v>82</v>
      </c>
      <c r="B373" s="34">
        <v>1139</v>
      </c>
      <c r="C373" s="37" t="s">
        <v>77</v>
      </c>
      <c r="D373" s="75">
        <v>45679</v>
      </c>
      <c r="E373" s="35" t="s">
        <v>25</v>
      </c>
      <c r="F373" s="35" t="s">
        <v>83</v>
      </c>
      <c r="G373" s="34" t="s">
        <v>84</v>
      </c>
      <c r="H373" s="35" t="s">
        <v>85</v>
      </c>
      <c r="I373" s="35" t="s">
        <v>86</v>
      </c>
      <c r="J373" s="47" t="s">
        <v>34</v>
      </c>
      <c r="K373" s="34" t="s">
        <v>35</v>
      </c>
      <c r="L373" s="156"/>
      <c r="M373" s="151"/>
      <c r="N373" s="151"/>
      <c r="O373" s="151"/>
      <c r="P373" s="151"/>
      <c r="Q373" s="151"/>
    </row>
    <row r="374" spans="1:17" ht="14.25" customHeight="1">
      <c r="A374" s="34">
        <v>837</v>
      </c>
      <c r="B374" s="34"/>
      <c r="C374" s="37" t="s">
        <v>87</v>
      </c>
      <c r="D374" s="75">
        <v>45684</v>
      </c>
      <c r="E374" s="35" t="s">
        <v>88</v>
      </c>
      <c r="F374" s="35" t="s">
        <v>89</v>
      </c>
      <c r="G374" s="34" t="s">
        <v>90</v>
      </c>
      <c r="H374" s="35" t="s">
        <v>91</v>
      </c>
      <c r="I374" s="35" t="s">
        <v>13</v>
      </c>
      <c r="J374" s="47" t="s">
        <v>34</v>
      </c>
      <c r="K374" s="34" t="s">
        <v>35</v>
      </c>
      <c r="L374" s="156"/>
      <c r="M374" s="151"/>
      <c r="N374" s="151"/>
      <c r="O374" s="151"/>
      <c r="P374" s="151"/>
      <c r="Q374" s="151"/>
    </row>
    <row r="375" spans="1:17" ht="14.25" customHeight="1">
      <c r="A375" s="34">
        <v>834</v>
      </c>
      <c r="B375" s="34">
        <v>1138</v>
      </c>
      <c r="C375" s="37" t="s">
        <v>92</v>
      </c>
      <c r="D375" s="75">
        <v>45679</v>
      </c>
      <c r="E375" s="35" t="s">
        <v>25</v>
      </c>
      <c r="F375" s="35" t="s">
        <v>93</v>
      </c>
      <c r="G375" s="34" t="s">
        <v>94</v>
      </c>
      <c r="H375" s="35" t="s">
        <v>95</v>
      </c>
      <c r="I375" s="35" t="s">
        <v>44</v>
      </c>
      <c r="J375" s="73" t="s">
        <v>34</v>
      </c>
      <c r="K375" s="34" t="s">
        <v>820</v>
      </c>
      <c r="L375" s="156"/>
      <c r="M375" s="151"/>
      <c r="N375" s="151"/>
      <c r="O375" s="151"/>
      <c r="P375" s="151"/>
      <c r="Q375" s="151"/>
    </row>
    <row r="376" spans="1:17" ht="14.25" customHeight="1">
      <c r="A376" s="34">
        <v>523</v>
      </c>
      <c r="B376" s="34">
        <v>735</v>
      </c>
      <c r="C376" s="34" t="s">
        <v>97</v>
      </c>
      <c r="D376" s="75">
        <v>45275</v>
      </c>
      <c r="E376" s="34" t="s">
        <v>25</v>
      </c>
      <c r="F376" s="34" t="s">
        <v>98</v>
      </c>
      <c r="G376" s="34" t="s">
        <v>99</v>
      </c>
      <c r="H376" s="34" t="s">
        <v>100</v>
      </c>
      <c r="I376" s="34" t="s">
        <v>101</v>
      </c>
      <c r="J376" s="73" t="s">
        <v>34</v>
      </c>
      <c r="K376" s="34" t="s">
        <v>820</v>
      </c>
      <c r="L376" s="156"/>
      <c r="M376" s="151"/>
      <c r="N376" s="151"/>
      <c r="O376" s="151"/>
      <c r="P376" s="151"/>
      <c r="Q376" s="151"/>
    </row>
    <row r="377" spans="1:17" ht="14.25" customHeight="1">
      <c r="A377" s="34" t="s">
        <v>102</v>
      </c>
      <c r="B377" s="34">
        <v>1137</v>
      </c>
      <c r="C377" s="34" t="s">
        <v>97</v>
      </c>
      <c r="D377" s="75">
        <v>45673</v>
      </c>
      <c r="E377" s="34" t="s">
        <v>25</v>
      </c>
      <c r="F377" s="34" t="s">
        <v>103</v>
      </c>
      <c r="G377" s="34" t="s">
        <v>104</v>
      </c>
      <c r="H377" s="34" t="s">
        <v>100</v>
      </c>
      <c r="I377" s="34" t="s">
        <v>105</v>
      </c>
      <c r="J377" s="73" t="s">
        <v>34</v>
      </c>
      <c r="K377" s="34" t="s">
        <v>820</v>
      </c>
      <c r="L377" s="156"/>
      <c r="M377" s="151"/>
      <c r="N377" s="151"/>
      <c r="O377" s="151"/>
      <c r="P377" s="151"/>
      <c r="Q377" s="151"/>
    </row>
    <row r="378" spans="1:17" ht="14.25" customHeight="1">
      <c r="A378" s="34" t="s">
        <v>106</v>
      </c>
      <c r="B378" s="34">
        <v>1134</v>
      </c>
      <c r="C378" s="34" t="s">
        <v>58</v>
      </c>
      <c r="D378" s="75">
        <v>45672</v>
      </c>
      <c r="E378" s="34" t="s">
        <v>25</v>
      </c>
      <c r="F378" s="34" t="s">
        <v>107</v>
      </c>
      <c r="G378" s="34" t="s">
        <v>108</v>
      </c>
      <c r="H378" s="34" t="s">
        <v>100</v>
      </c>
      <c r="I378" s="34" t="s">
        <v>109</v>
      </c>
      <c r="J378" s="73" t="s">
        <v>34</v>
      </c>
      <c r="K378" s="34" t="s">
        <v>820</v>
      </c>
      <c r="L378" s="156"/>
      <c r="M378" s="151"/>
      <c r="N378" s="151"/>
      <c r="O378" s="151"/>
      <c r="P378" s="151"/>
      <c r="Q378" s="151"/>
    </row>
    <row r="379" spans="1:17" ht="14.25" customHeight="1">
      <c r="A379" s="34" t="s">
        <v>110</v>
      </c>
      <c r="B379" s="34">
        <v>1136</v>
      </c>
      <c r="C379" s="34" t="s">
        <v>58</v>
      </c>
      <c r="D379" s="75">
        <v>45671</v>
      </c>
      <c r="E379" s="34" t="s">
        <v>25</v>
      </c>
      <c r="F379" s="34" t="s">
        <v>107</v>
      </c>
      <c r="G379" s="34" t="s">
        <v>111</v>
      </c>
      <c r="H379" s="34" t="s">
        <v>100</v>
      </c>
      <c r="I379" s="34" t="s">
        <v>112</v>
      </c>
      <c r="J379" s="73" t="s">
        <v>34</v>
      </c>
      <c r="K379" s="34" t="s">
        <v>820</v>
      </c>
      <c r="L379" s="156"/>
      <c r="M379" s="151"/>
      <c r="N379" s="151"/>
      <c r="O379" s="151"/>
      <c r="P379" s="151"/>
      <c r="Q379" s="151"/>
    </row>
    <row r="380" spans="1:17" ht="14.25" customHeight="1">
      <c r="A380" s="34" t="s">
        <v>113</v>
      </c>
      <c r="B380" s="34">
        <v>1133</v>
      </c>
      <c r="C380" s="34" t="s">
        <v>58</v>
      </c>
      <c r="D380" s="75">
        <v>45671</v>
      </c>
      <c r="E380" s="34" t="s">
        <v>25</v>
      </c>
      <c r="F380" s="34" t="s">
        <v>114</v>
      </c>
      <c r="G380" s="34" t="s">
        <v>115</v>
      </c>
      <c r="H380" s="34" t="s">
        <v>100</v>
      </c>
      <c r="I380" s="34" t="s">
        <v>116</v>
      </c>
      <c r="J380" s="73" t="s">
        <v>34</v>
      </c>
      <c r="K380" s="34" t="s">
        <v>820</v>
      </c>
      <c r="L380" s="156"/>
      <c r="M380" s="151"/>
      <c r="N380" s="151"/>
      <c r="O380" s="151"/>
      <c r="P380" s="151"/>
      <c r="Q380" s="151"/>
    </row>
    <row r="381" spans="1:17" ht="14.25" customHeight="1">
      <c r="A381" s="34" t="s">
        <v>117</v>
      </c>
      <c r="B381" s="34">
        <v>1135</v>
      </c>
      <c r="C381" s="34" t="s">
        <v>58</v>
      </c>
      <c r="D381" s="75">
        <v>45672</v>
      </c>
      <c r="E381" s="34" t="s">
        <v>25</v>
      </c>
      <c r="F381" s="34" t="s">
        <v>118</v>
      </c>
      <c r="G381" s="34" t="s">
        <v>119</v>
      </c>
      <c r="H381" s="34" t="s">
        <v>100</v>
      </c>
      <c r="I381" s="36" t="s">
        <v>120</v>
      </c>
      <c r="J381" s="73" t="s">
        <v>34</v>
      </c>
      <c r="K381" s="34" t="s">
        <v>820</v>
      </c>
      <c r="L381" s="156"/>
      <c r="M381" s="151"/>
      <c r="N381" s="151"/>
      <c r="O381" s="151"/>
      <c r="P381" s="151"/>
      <c r="Q381" s="151"/>
    </row>
    <row r="382" spans="1:17" ht="14.25" customHeight="1">
      <c r="A382" s="34">
        <v>829</v>
      </c>
      <c r="B382" s="34">
        <v>1132</v>
      </c>
      <c r="C382" s="34" t="s">
        <v>121</v>
      </c>
      <c r="D382" s="34" t="s">
        <v>122</v>
      </c>
      <c r="E382" s="34" t="s">
        <v>19</v>
      </c>
      <c r="F382" s="34" t="s">
        <v>123</v>
      </c>
      <c r="G382" s="34" t="s">
        <v>124</v>
      </c>
      <c r="H382" s="36" t="s">
        <v>125</v>
      </c>
      <c r="I382" s="36" t="s">
        <v>126</v>
      </c>
      <c r="J382" s="47" t="s">
        <v>34</v>
      </c>
      <c r="K382" s="34" t="s">
        <v>35</v>
      </c>
      <c r="L382" s="156"/>
      <c r="M382" s="151"/>
      <c r="N382" s="151"/>
      <c r="O382" s="151"/>
      <c r="P382" s="151"/>
      <c r="Q382" s="151"/>
    </row>
    <row r="383" spans="1:17" ht="14.25" customHeight="1">
      <c r="A383" s="34">
        <v>827</v>
      </c>
      <c r="B383" s="34">
        <v>1131</v>
      </c>
      <c r="C383" s="34" t="s">
        <v>127</v>
      </c>
      <c r="D383" s="34" t="s">
        <v>128</v>
      </c>
      <c r="E383" s="34" t="s">
        <v>25</v>
      </c>
      <c r="F383" s="34" t="s">
        <v>129</v>
      </c>
      <c r="G383" s="34" t="s">
        <v>130</v>
      </c>
      <c r="H383" s="34" t="s">
        <v>131</v>
      </c>
      <c r="I383" s="34" t="s">
        <v>132</v>
      </c>
      <c r="J383" s="47" t="s">
        <v>34</v>
      </c>
      <c r="K383" s="34" t="s">
        <v>35</v>
      </c>
      <c r="L383" s="156"/>
      <c r="M383" s="151"/>
      <c r="N383" s="151"/>
      <c r="O383" s="151"/>
      <c r="P383" s="151"/>
      <c r="Q383" s="151"/>
    </row>
    <row r="384" spans="1:17" ht="14.25" customHeight="1">
      <c r="A384" s="34">
        <v>828</v>
      </c>
      <c r="B384" s="34">
        <v>1130</v>
      </c>
      <c r="C384" s="34" t="s">
        <v>133</v>
      </c>
      <c r="D384" s="75">
        <v>46018</v>
      </c>
      <c r="E384" s="34" t="s">
        <v>25</v>
      </c>
      <c r="F384" s="76" t="s">
        <v>134</v>
      </c>
      <c r="G384" s="34" t="s">
        <v>135</v>
      </c>
      <c r="H384" s="34" t="s">
        <v>136</v>
      </c>
      <c r="I384" s="34" t="s">
        <v>137</v>
      </c>
      <c r="J384" s="47" t="s">
        <v>34</v>
      </c>
      <c r="K384" s="34" t="s">
        <v>35</v>
      </c>
      <c r="L384" s="156"/>
      <c r="M384" s="151"/>
      <c r="N384" s="151"/>
      <c r="O384" s="151"/>
      <c r="P384" s="151"/>
      <c r="Q384" s="151"/>
    </row>
    <row r="385" spans="1:17" ht="14.25" customHeight="1">
      <c r="A385" s="34">
        <v>824</v>
      </c>
      <c r="B385" s="34">
        <v>1129</v>
      </c>
      <c r="C385" s="35" t="s">
        <v>138</v>
      </c>
      <c r="D385" s="75">
        <v>45642</v>
      </c>
      <c r="E385" s="34" t="s">
        <v>19</v>
      </c>
      <c r="F385" s="35" t="s">
        <v>139</v>
      </c>
      <c r="G385" s="34">
        <v>2016100428</v>
      </c>
      <c r="H385" s="34" t="s">
        <v>140</v>
      </c>
      <c r="I385" s="34" t="s">
        <v>141</v>
      </c>
      <c r="J385" s="47" t="s">
        <v>34</v>
      </c>
      <c r="K385" s="34" t="s">
        <v>142</v>
      </c>
      <c r="L385" s="156"/>
      <c r="M385" s="151"/>
      <c r="N385" s="151"/>
      <c r="O385" s="151"/>
      <c r="P385" s="151"/>
      <c r="Q385" s="151"/>
    </row>
    <row r="386" spans="1:17" ht="14.25" customHeight="1">
      <c r="A386" s="34">
        <v>823</v>
      </c>
      <c r="B386" s="34">
        <v>1127</v>
      </c>
      <c r="C386" s="35" t="s">
        <v>143</v>
      </c>
      <c r="D386" s="75">
        <v>45640</v>
      </c>
      <c r="E386" s="34" t="s">
        <v>144</v>
      </c>
      <c r="F386" s="35" t="s">
        <v>145</v>
      </c>
      <c r="G386" s="34" t="s">
        <v>146</v>
      </c>
      <c r="H386" s="35" t="s">
        <v>147</v>
      </c>
      <c r="I386" s="40" t="s">
        <v>13</v>
      </c>
      <c r="J386" s="47" t="s">
        <v>34</v>
      </c>
      <c r="K386" s="34" t="s">
        <v>35</v>
      </c>
      <c r="L386" s="156"/>
      <c r="M386" s="151"/>
      <c r="N386" s="151"/>
      <c r="O386" s="151"/>
      <c r="P386" s="151"/>
      <c r="Q386" s="151"/>
    </row>
    <row r="387" spans="1:17" ht="14.25" customHeight="1">
      <c r="A387" s="34">
        <v>822</v>
      </c>
      <c r="B387" s="34">
        <v>1126</v>
      </c>
      <c r="C387" s="37" t="s">
        <v>148</v>
      </c>
      <c r="D387" s="75">
        <v>45639</v>
      </c>
      <c r="E387" s="34" t="s">
        <v>25</v>
      </c>
      <c r="F387" s="34" t="s">
        <v>149</v>
      </c>
      <c r="G387" s="34" t="s">
        <v>150</v>
      </c>
      <c r="H387" s="35" t="s">
        <v>151</v>
      </c>
      <c r="I387" s="40" t="s">
        <v>13</v>
      </c>
      <c r="J387" s="47" t="s">
        <v>34</v>
      </c>
      <c r="K387" s="34" t="s">
        <v>35</v>
      </c>
      <c r="L387" s="156"/>
      <c r="M387" s="151"/>
      <c r="N387" s="151"/>
      <c r="O387" s="151"/>
      <c r="P387" s="151"/>
      <c r="Q387" s="151"/>
    </row>
    <row r="388" spans="1:17" ht="14.25" customHeight="1">
      <c r="A388" s="34">
        <v>820</v>
      </c>
      <c r="B388" s="34">
        <v>1122</v>
      </c>
      <c r="C388" s="37" t="s">
        <v>152</v>
      </c>
      <c r="D388" s="75">
        <v>45636</v>
      </c>
      <c r="E388" s="35" t="s">
        <v>25</v>
      </c>
      <c r="F388" s="35" t="s">
        <v>153</v>
      </c>
      <c r="G388" s="35" t="s">
        <v>154</v>
      </c>
      <c r="H388" s="35" t="s">
        <v>155</v>
      </c>
      <c r="I388" s="40" t="s">
        <v>13</v>
      </c>
      <c r="J388" s="47" t="s">
        <v>34</v>
      </c>
      <c r="K388" s="34" t="s">
        <v>35</v>
      </c>
      <c r="L388" s="156"/>
      <c r="M388" s="151"/>
      <c r="N388" s="151"/>
      <c r="O388" s="151"/>
      <c r="P388" s="151"/>
      <c r="Q388" s="151"/>
    </row>
    <row r="389" spans="1:17" ht="14.25" customHeight="1">
      <c r="A389" s="34" t="s">
        <v>156</v>
      </c>
      <c r="B389" s="34">
        <v>1125</v>
      </c>
      <c r="C389" s="37" t="s">
        <v>157</v>
      </c>
      <c r="D389" s="75">
        <v>45637</v>
      </c>
      <c r="E389" s="35" t="s">
        <v>19</v>
      </c>
      <c r="F389" s="35" t="s">
        <v>158</v>
      </c>
      <c r="G389" s="35" t="s">
        <v>159</v>
      </c>
      <c r="H389" s="35" t="s">
        <v>160</v>
      </c>
      <c r="I389" s="35" t="s">
        <v>161</v>
      </c>
      <c r="J389" s="47" t="s">
        <v>34</v>
      </c>
      <c r="K389" s="34" t="s">
        <v>35</v>
      </c>
      <c r="L389" s="156"/>
      <c r="M389" s="151"/>
      <c r="N389" s="151"/>
      <c r="O389" s="151"/>
      <c r="P389" s="151"/>
      <c r="Q389" s="151"/>
    </row>
    <row r="390" spans="1:17" ht="14.25" customHeight="1">
      <c r="A390" s="34" t="s">
        <v>162</v>
      </c>
      <c r="B390" s="34">
        <v>1124</v>
      </c>
      <c r="C390" s="37" t="s">
        <v>157</v>
      </c>
      <c r="D390" s="75">
        <v>45637</v>
      </c>
      <c r="E390" s="35" t="s">
        <v>19</v>
      </c>
      <c r="F390" s="35" t="s">
        <v>158</v>
      </c>
      <c r="G390" s="35" t="s">
        <v>163</v>
      </c>
      <c r="H390" s="35" t="s">
        <v>160</v>
      </c>
      <c r="I390" s="35" t="s">
        <v>164</v>
      </c>
      <c r="J390" s="47" t="s">
        <v>34</v>
      </c>
      <c r="K390" s="34" t="s">
        <v>1299</v>
      </c>
      <c r="L390" s="156"/>
      <c r="M390" s="151"/>
      <c r="N390" s="151"/>
      <c r="O390" s="151"/>
      <c r="P390" s="151"/>
      <c r="Q390" s="151"/>
    </row>
    <row r="391" spans="1:17" ht="14.25" customHeight="1">
      <c r="A391" s="34" t="s">
        <v>165</v>
      </c>
      <c r="B391" s="34">
        <v>1121</v>
      </c>
      <c r="C391" s="37" t="s">
        <v>157</v>
      </c>
      <c r="D391" s="75">
        <v>45637</v>
      </c>
      <c r="E391" s="35" t="s">
        <v>88</v>
      </c>
      <c r="F391" s="35" t="s">
        <v>166</v>
      </c>
      <c r="G391" s="34">
        <v>1161007841</v>
      </c>
      <c r="H391" s="35" t="s">
        <v>160</v>
      </c>
      <c r="I391" s="35" t="s">
        <v>167</v>
      </c>
      <c r="J391" s="47" t="s">
        <v>34</v>
      </c>
      <c r="K391" s="34" t="s">
        <v>820</v>
      </c>
      <c r="L391" s="156"/>
      <c r="M391" s="151"/>
      <c r="N391" s="151"/>
      <c r="O391" s="151"/>
      <c r="P391" s="151"/>
      <c r="Q391" s="151"/>
    </row>
    <row r="392" spans="1:17" ht="14.25" customHeight="1">
      <c r="A392" s="34" t="s">
        <v>168</v>
      </c>
      <c r="B392" s="34">
        <v>1120</v>
      </c>
      <c r="C392" s="37" t="s">
        <v>157</v>
      </c>
      <c r="D392" s="75">
        <v>45637</v>
      </c>
      <c r="E392" s="35" t="s">
        <v>19</v>
      </c>
      <c r="F392" s="35" t="s">
        <v>169</v>
      </c>
      <c r="G392" s="35" t="s">
        <v>170</v>
      </c>
      <c r="H392" s="35" t="s">
        <v>160</v>
      </c>
      <c r="I392" s="35" t="s">
        <v>171</v>
      </c>
      <c r="J392" s="47" t="s">
        <v>34</v>
      </c>
      <c r="K392" s="34" t="s">
        <v>1299</v>
      </c>
      <c r="L392" s="156"/>
      <c r="M392" s="151"/>
      <c r="N392" s="151"/>
      <c r="O392" s="151"/>
      <c r="P392" s="151"/>
      <c r="Q392" s="151"/>
    </row>
    <row r="393" spans="1:17" ht="14.25" customHeight="1">
      <c r="A393" s="34" t="s">
        <v>172</v>
      </c>
      <c r="B393" s="34">
        <v>1123</v>
      </c>
      <c r="C393" s="37" t="s">
        <v>157</v>
      </c>
      <c r="D393" s="75">
        <v>45637</v>
      </c>
      <c r="E393" s="35" t="s">
        <v>19</v>
      </c>
      <c r="F393" s="35" t="s">
        <v>169</v>
      </c>
      <c r="G393" s="35" t="s">
        <v>173</v>
      </c>
      <c r="H393" s="35" t="s">
        <v>160</v>
      </c>
      <c r="I393" s="35" t="s">
        <v>174</v>
      </c>
      <c r="J393" s="47" t="s">
        <v>34</v>
      </c>
      <c r="K393" s="34" t="s">
        <v>1299</v>
      </c>
      <c r="L393" s="156"/>
      <c r="M393" s="151"/>
      <c r="N393" s="151"/>
      <c r="O393" s="151"/>
      <c r="P393" s="151"/>
      <c r="Q393" s="151"/>
    </row>
    <row r="394" spans="1:17" ht="13.5" customHeight="1">
      <c r="A394" s="34">
        <v>818</v>
      </c>
      <c r="B394" s="40" t="s">
        <v>13</v>
      </c>
      <c r="C394" s="37" t="s">
        <v>175</v>
      </c>
      <c r="D394" s="75">
        <v>45632</v>
      </c>
      <c r="E394" s="35" t="s">
        <v>25</v>
      </c>
      <c r="F394" s="35" t="s">
        <v>176</v>
      </c>
      <c r="G394" s="35" t="s">
        <v>177</v>
      </c>
      <c r="H394" s="35" t="s">
        <v>178</v>
      </c>
      <c r="I394" s="35" t="s">
        <v>179</v>
      </c>
      <c r="J394" s="47" t="s">
        <v>34</v>
      </c>
      <c r="K394" s="34" t="s">
        <v>35</v>
      </c>
      <c r="L394" s="156"/>
      <c r="M394" s="151"/>
      <c r="N394" s="151"/>
      <c r="O394" s="151"/>
      <c r="P394" s="151"/>
      <c r="Q394" s="151"/>
    </row>
    <row r="395" spans="1:17" ht="13.5" customHeight="1">
      <c r="A395" s="34">
        <v>816</v>
      </c>
      <c r="B395" s="77"/>
      <c r="C395" s="37" t="s">
        <v>180</v>
      </c>
      <c r="D395" s="75">
        <v>45631</v>
      </c>
      <c r="E395" s="34" t="s">
        <v>19</v>
      </c>
      <c r="F395" s="35" t="s">
        <v>181</v>
      </c>
      <c r="G395" s="35" t="s">
        <v>182</v>
      </c>
      <c r="H395" s="35" t="s">
        <v>160</v>
      </c>
      <c r="I395" s="35" t="s">
        <v>183</v>
      </c>
      <c r="J395" s="78" t="s">
        <v>34</v>
      </c>
      <c r="K395" s="34" t="s">
        <v>820</v>
      </c>
      <c r="L395" s="156"/>
      <c r="M395" s="151"/>
      <c r="N395" s="151"/>
      <c r="O395" s="151"/>
      <c r="P395" s="151"/>
      <c r="Q395" s="151"/>
    </row>
    <row r="396" spans="1:17" ht="14.25" customHeight="1">
      <c r="A396" s="34" t="s">
        <v>184</v>
      </c>
      <c r="B396" s="34">
        <v>1119</v>
      </c>
      <c r="C396" s="37" t="s">
        <v>185</v>
      </c>
      <c r="D396" s="75">
        <v>45631</v>
      </c>
      <c r="E396" s="34" t="s">
        <v>19</v>
      </c>
      <c r="F396" s="35" t="s">
        <v>123</v>
      </c>
      <c r="G396" s="35" t="s">
        <v>186</v>
      </c>
      <c r="H396" s="35" t="s">
        <v>160</v>
      </c>
      <c r="I396" s="35" t="s">
        <v>187</v>
      </c>
      <c r="J396" s="69" t="s">
        <v>50</v>
      </c>
      <c r="K396" s="34" t="s">
        <v>51</v>
      </c>
      <c r="L396" s="156"/>
      <c r="M396" s="151"/>
      <c r="N396" s="151"/>
      <c r="O396" s="151"/>
      <c r="P396" s="151"/>
      <c r="Q396" s="151"/>
    </row>
    <row r="397" spans="1:17" ht="14.25" customHeight="1">
      <c r="A397" s="34" t="s">
        <v>188</v>
      </c>
      <c r="B397" s="34">
        <v>1118</v>
      </c>
      <c r="C397" s="37" t="s">
        <v>185</v>
      </c>
      <c r="D397" s="75">
        <v>45631</v>
      </c>
      <c r="E397" s="34" t="s">
        <v>19</v>
      </c>
      <c r="F397" s="35" t="s">
        <v>123</v>
      </c>
      <c r="G397" s="35" t="s">
        <v>189</v>
      </c>
      <c r="H397" s="35" t="s">
        <v>160</v>
      </c>
      <c r="I397" s="35" t="s">
        <v>187</v>
      </c>
      <c r="J397" s="69" t="s">
        <v>50</v>
      </c>
      <c r="K397" s="34" t="s">
        <v>51</v>
      </c>
      <c r="L397" s="156"/>
      <c r="M397" s="151"/>
      <c r="N397" s="151"/>
      <c r="O397" s="151"/>
      <c r="P397" s="151"/>
      <c r="Q397" s="151"/>
    </row>
    <row r="398" spans="1:17" ht="14.25" customHeight="1">
      <c r="A398" s="34">
        <v>815</v>
      </c>
      <c r="B398" s="40" t="s">
        <v>13</v>
      </c>
      <c r="C398" s="37" t="s">
        <v>190</v>
      </c>
      <c r="D398" s="75">
        <v>45631</v>
      </c>
      <c r="E398" s="34" t="s">
        <v>19</v>
      </c>
      <c r="F398" s="35" t="s">
        <v>191</v>
      </c>
      <c r="G398" s="35" t="s">
        <v>192</v>
      </c>
      <c r="H398" s="35" t="s">
        <v>192</v>
      </c>
      <c r="I398" s="35" t="s">
        <v>193</v>
      </c>
      <c r="J398" s="47" t="s">
        <v>34</v>
      </c>
      <c r="K398" s="34" t="s">
        <v>142</v>
      </c>
      <c r="L398" s="156"/>
      <c r="M398" s="151"/>
      <c r="N398" s="151"/>
      <c r="O398" s="151"/>
      <c r="P398" s="151"/>
      <c r="Q398" s="151"/>
    </row>
    <row r="399" spans="1:17" ht="14.25" customHeight="1">
      <c r="A399" s="34" t="s">
        <v>194</v>
      </c>
      <c r="B399" s="34">
        <v>795</v>
      </c>
      <c r="C399" s="37" t="s">
        <v>195</v>
      </c>
      <c r="D399" s="34"/>
      <c r="E399" s="34" t="s">
        <v>11</v>
      </c>
      <c r="F399" s="35" t="s">
        <v>196</v>
      </c>
      <c r="G399" s="35" t="s">
        <v>197</v>
      </c>
      <c r="H399" s="40" t="s">
        <v>13</v>
      </c>
      <c r="I399" s="40" t="s">
        <v>13</v>
      </c>
      <c r="J399" s="47" t="s">
        <v>34</v>
      </c>
      <c r="K399" s="34" t="s">
        <v>142</v>
      </c>
      <c r="L399" s="156"/>
      <c r="M399" s="151"/>
      <c r="N399" s="151"/>
      <c r="O399" s="151"/>
      <c r="P399" s="151"/>
      <c r="Q399" s="151"/>
    </row>
    <row r="400" spans="1:17" ht="14.25" customHeight="1">
      <c r="A400" s="34" t="s">
        <v>198</v>
      </c>
      <c r="B400" s="34">
        <v>795</v>
      </c>
      <c r="C400" s="37" t="s">
        <v>195</v>
      </c>
      <c r="D400" s="34"/>
      <c r="E400" s="34" t="s">
        <v>11</v>
      </c>
      <c r="F400" s="35" t="s">
        <v>12</v>
      </c>
      <c r="G400" s="35" t="s">
        <v>197</v>
      </c>
      <c r="H400" s="40" t="s">
        <v>13</v>
      </c>
      <c r="I400" s="40" t="s">
        <v>13</v>
      </c>
      <c r="J400" s="47" t="s">
        <v>34</v>
      </c>
      <c r="K400" s="34" t="s">
        <v>142</v>
      </c>
      <c r="L400" s="156"/>
      <c r="M400" s="151"/>
      <c r="N400" s="151"/>
      <c r="O400" s="151"/>
      <c r="P400" s="151"/>
      <c r="Q400" s="151"/>
    </row>
    <row r="401" spans="1:17" ht="14.25" customHeight="1">
      <c r="A401" s="34" t="s">
        <v>199</v>
      </c>
      <c r="B401" s="34">
        <v>795</v>
      </c>
      <c r="C401" s="37" t="s">
        <v>195</v>
      </c>
      <c r="D401" s="34"/>
      <c r="E401" s="34" t="s">
        <v>11</v>
      </c>
      <c r="F401" s="35" t="s">
        <v>12</v>
      </c>
      <c r="G401" s="35" t="s">
        <v>197</v>
      </c>
      <c r="H401" s="40" t="s">
        <v>13</v>
      </c>
      <c r="I401" s="40" t="s">
        <v>13</v>
      </c>
      <c r="J401" s="47" t="s">
        <v>34</v>
      </c>
      <c r="K401" s="34" t="s">
        <v>142</v>
      </c>
      <c r="L401" s="156"/>
      <c r="M401" s="151"/>
      <c r="N401" s="151"/>
      <c r="O401" s="151"/>
      <c r="P401" s="151"/>
      <c r="Q401" s="151"/>
    </row>
    <row r="402" spans="1:17" ht="14.25" customHeight="1">
      <c r="A402" s="34" t="s">
        <v>200</v>
      </c>
      <c r="B402" s="34">
        <v>795</v>
      </c>
      <c r="C402" s="37" t="s">
        <v>195</v>
      </c>
      <c r="D402" s="34"/>
      <c r="E402" s="34" t="s">
        <v>11</v>
      </c>
      <c r="F402" s="35" t="s">
        <v>12</v>
      </c>
      <c r="G402" s="35" t="s">
        <v>197</v>
      </c>
      <c r="H402" s="40" t="s">
        <v>13</v>
      </c>
      <c r="I402" s="40" t="s">
        <v>13</v>
      </c>
      <c r="J402" s="47" t="s">
        <v>34</v>
      </c>
      <c r="K402" s="34" t="s">
        <v>142</v>
      </c>
      <c r="L402" s="156"/>
      <c r="M402" s="151"/>
      <c r="N402" s="151"/>
      <c r="O402" s="151"/>
      <c r="P402" s="151"/>
      <c r="Q402" s="151"/>
    </row>
    <row r="403" spans="1:17" ht="14.25" customHeight="1">
      <c r="A403" s="34">
        <v>814</v>
      </c>
      <c r="B403" s="40" t="s">
        <v>13</v>
      </c>
      <c r="C403" s="35" t="s">
        <v>201</v>
      </c>
      <c r="D403" s="75">
        <v>45629</v>
      </c>
      <c r="E403" s="35" t="s">
        <v>19</v>
      </c>
      <c r="F403" s="35" t="s">
        <v>169</v>
      </c>
      <c r="G403" s="35" t="s">
        <v>202</v>
      </c>
      <c r="H403" s="35" t="s">
        <v>160</v>
      </c>
      <c r="I403" s="35" t="s">
        <v>203</v>
      </c>
      <c r="J403" s="47" t="s">
        <v>34</v>
      </c>
      <c r="K403" s="34" t="s">
        <v>204</v>
      </c>
      <c r="L403" s="156"/>
      <c r="M403" s="151"/>
      <c r="N403" s="151"/>
      <c r="O403" s="151"/>
      <c r="P403" s="151"/>
      <c r="Q403" s="151"/>
    </row>
    <row r="404" spans="1:17" ht="14.25" customHeight="1">
      <c r="A404" s="34">
        <v>813</v>
      </c>
      <c r="B404" s="34">
        <v>1116</v>
      </c>
      <c r="C404" s="35" t="s">
        <v>24</v>
      </c>
      <c r="D404" s="75">
        <v>45629</v>
      </c>
      <c r="E404" s="35" t="s">
        <v>25</v>
      </c>
      <c r="F404" s="35" t="s">
        <v>205</v>
      </c>
      <c r="G404" s="35" t="s">
        <v>206</v>
      </c>
      <c r="H404" s="35" t="s">
        <v>207</v>
      </c>
      <c r="I404" s="35" t="s">
        <v>208</v>
      </c>
      <c r="J404" s="47" t="s">
        <v>34</v>
      </c>
      <c r="K404" s="34" t="s">
        <v>35</v>
      </c>
      <c r="L404" s="156"/>
      <c r="M404" s="151"/>
      <c r="N404" s="151"/>
      <c r="O404" s="151"/>
      <c r="P404" s="151"/>
      <c r="Q404" s="151"/>
    </row>
    <row r="405" spans="1:17" ht="14.25" customHeight="1">
      <c r="A405" s="34">
        <v>812</v>
      </c>
      <c r="B405" s="34">
        <v>1114</v>
      </c>
      <c r="C405" s="35" t="s">
        <v>210</v>
      </c>
      <c r="D405" s="75">
        <v>45626</v>
      </c>
      <c r="E405" s="35" t="s">
        <v>19</v>
      </c>
      <c r="F405" s="35" t="s">
        <v>211</v>
      </c>
      <c r="G405" s="35" t="s">
        <v>212</v>
      </c>
      <c r="H405" s="35" t="s">
        <v>160</v>
      </c>
      <c r="I405" s="35" t="s">
        <v>213</v>
      </c>
      <c r="J405" s="69" t="s">
        <v>50</v>
      </c>
      <c r="K405" s="34" t="s">
        <v>51</v>
      </c>
      <c r="L405" s="156"/>
      <c r="M405" s="151"/>
      <c r="N405" s="151"/>
      <c r="O405" s="151"/>
      <c r="P405" s="151"/>
      <c r="Q405" s="151"/>
    </row>
    <row r="406" spans="1:17" ht="14.25" customHeight="1" thickBot="1">
      <c r="A406" s="34">
        <v>811</v>
      </c>
      <c r="B406" s="34">
        <v>1113</v>
      </c>
      <c r="C406" s="35" t="s">
        <v>195</v>
      </c>
      <c r="D406" s="75">
        <v>45626</v>
      </c>
      <c r="E406" s="35" t="s">
        <v>25</v>
      </c>
      <c r="F406" s="35" t="s">
        <v>214</v>
      </c>
      <c r="G406" s="35" t="s">
        <v>215</v>
      </c>
      <c r="H406" s="35" t="s">
        <v>1834</v>
      </c>
      <c r="I406" s="35" t="s">
        <v>216</v>
      </c>
      <c r="J406" s="47" t="s">
        <v>34</v>
      </c>
      <c r="K406" s="34" t="s">
        <v>35</v>
      </c>
      <c r="L406" s="156"/>
      <c r="M406" s="151"/>
      <c r="N406" s="151"/>
      <c r="O406" s="151"/>
      <c r="P406" s="151"/>
      <c r="Q406" s="151"/>
    </row>
    <row r="407" spans="1:17" ht="14.25" customHeight="1" thickBot="1">
      <c r="A407" s="34">
        <v>810</v>
      </c>
      <c r="B407" s="34">
        <v>1117</v>
      </c>
      <c r="C407" s="79" t="s">
        <v>217</v>
      </c>
      <c r="D407" s="75">
        <v>45625</v>
      </c>
      <c r="E407" s="34" t="s">
        <v>218</v>
      </c>
      <c r="F407" s="35" t="s">
        <v>219</v>
      </c>
      <c r="G407" s="80">
        <v>1.42E+31</v>
      </c>
      <c r="H407" s="35" t="s">
        <v>220</v>
      </c>
      <c r="I407" s="35" t="s">
        <v>13</v>
      </c>
      <c r="J407" s="47" t="s">
        <v>34</v>
      </c>
      <c r="K407" s="34" t="s">
        <v>142</v>
      </c>
      <c r="L407" s="156"/>
      <c r="M407" s="151"/>
      <c r="N407" s="151"/>
      <c r="O407" s="151"/>
      <c r="P407" s="151"/>
      <c r="Q407" s="151"/>
    </row>
    <row r="408" spans="1:17" ht="14.25" customHeight="1">
      <c r="A408" s="34">
        <v>809</v>
      </c>
      <c r="B408" s="34">
        <v>1112</v>
      </c>
      <c r="C408" s="79" t="s">
        <v>221</v>
      </c>
      <c r="D408" s="75">
        <v>45625</v>
      </c>
      <c r="E408" s="34" t="s">
        <v>222</v>
      </c>
      <c r="F408" s="35" t="s">
        <v>223</v>
      </c>
      <c r="G408" s="35" t="s">
        <v>197</v>
      </c>
      <c r="H408" s="35" t="s">
        <v>224</v>
      </c>
      <c r="I408" s="35" t="s">
        <v>225</v>
      </c>
      <c r="J408" s="69" t="s">
        <v>50</v>
      </c>
      <c r="K408" s="34" t="s">
        <v>51</v>
      </c>
      <c r="L408" s="156"/>
      <c r="M408" s="151"/>
      <c r="N408" s="151"/>
      <c r="O408" s="151"/>
      <c r="P408" s="151"/>
      <c r="Q408" s="151"/>
    </row>
    <row r="409" spans="1:17" ht="14.25" customHeight="1">
      <c r="A409" s="34">
        <v>808</v>
      </c>
      <c r="B409" s="34">
        <v>1111</v>
      </c>
      <c r="C409" s="79" t="s">
        <v>226</v>
      </c>
      <c r="D409" s="75">
        <v>45625</v>
      </c>
      <c r="E409" s="35" t="s">
        <v>25</v>
      </c>
      <c r="F409" s="35" t="s">
        <v>227</v>
      </c>
      <c r="G409" s="35" t="s">
        <v>228</v>
      </c>
      <c r="H409" s="35" t="s">
        <v>229</v>
      </c>
      <c r="I409" s="35" t="s">
        <v>13</v>
      </c>
      <c r="J409" s="47" t="s">
        <v>34</v>
      </c>
      <c r="K409" s="34" t="s">
        <v>35</v>
      </c>
      <c r="L409" s="156"/>
      <c r="M409" s="151"/>
      <c r="N409" s="151"/>
      <c r="O409" s="151"/>
      <c r="P409" s="151"/>
      <c r="Q409" s="151"/>
    </row>
    <row r="410" spans="1:17" ht="14.25" customHeight="1">
      <c r="A410" s="34">
        <v>807</v>
      </c>
      <c r="B410" s="34">
        <v>1115</v>
      </c>
      <c r="C410" s="79" t="s">
        <v>175</v>
      </c>
      <c r="D410" s="75">
        <v>45624</v>
      </c>
      <c r="E410" s="34" t="s">
        <v>25</v>
      </c>
      <c r="F410" s="35" t="s">
        <v>176</v>
      </c>
      <c r="G410" s="35" t="s">
        <v>230</v>
      </c>
      <c r="H410" s="35" t="s">
        <v>1835</v>
      </c>
      <c r="I410" s="35" t="s">
        <v>231</v>
      </c>
      <c r="J410" s="47" t="s">
        <v>34</v>
      </c>
      <c r="K410" s="34" t="s">
        <v>35</v>
      </c>
      <c r="L410" s="156"/>
      <c r="M410" s="151"/>
      <c r="N410" s="151"/>
      <c r="O410" s="151"/>
      <c r="P410" s="151"/>
      <c r="Q410" s="151"/>
    </row>
    <row r="411" spans="1:17" ht="14.25" customHeight="1">
      <c r="A411" s="34" t="s">
        <v>197</v>
      </c>
      <c r="B411" s="81"/>
      <c r="C411" s="40" t="s">
        <v>232</v>
      </c>
      <c r="D411" s="34"/>
      <c r="E411" s="34" t="s">
        <v>88</v>
      </c>
      <c r="F411" s="34" t="s">
        <v>233</v>
      </c>
      <c r="G411" s="40" t="s">
        <v>13</v>
      </c>
      <c r="H411" s="40" t="s">
        <v>234</v>
      </c>
      <c r="I411" s="40" t="s">
        <v>13</v>
      </c>
      <c r="J411" s="47" t="s">
        <v>34</v>
      </c>
      <c r="K411" s="34" t="s">
        <v>35</v>
      </c>
      <c r="L411" s="156"/>
      <c r="M411" s="151"/>
      <c r="N411" s="151"/>
      <c r="O411" s="151"/>
      <c r="P411" s="151"/>
      <c r="Q411" s="151"/>
    </row>
    <row r="412" spans="1:17" ht="14.25" customHeight="1">
      <c r="A412" s="34">
        <v>806</v>
      </c>
      <c r="B412" s="34">
        <v>1109</v>
      </c>
      <c r="C412" s="79" t="s">
        <v>221</v>
      </c>
      <c r="D412" s="75">
        <v>45623</v>
      </c>
      <c r="E412" s="35" t="s">
        <v>222</v>
      </c>
      <c r="F412" s="35" t="s">
        <v>223</v>
      </c>
      <c r="G412" s="35" t="s">
        <v>197</v>
      </c>
      <c r="H412" s="35" t="s">
        <v>236</v>
      </c>
      <c r="I412" s="35" t="s">
        <v>237</v>
      </c>
      <c r="J412" s="47" t="s">
        <v>34</v>
      </c>
      <c r="K412" s="34" t="s">
        <v>35</v>
      </c>
      <c r="L412" s="156"/>
      <c r="M412" s="151"/>
      <c r="N412" s="151"/>
      <c r="O412" s="151"/>
      <c r="P412" s="151"/>
      <c r="Q412" s="151"/>
    </row>
    <row r="413" spans="1:17" ht="14.25" customHeight="1">
      <c r="A413" s="34">
        <v>805</v>
      </c>
      <c r="B413" s="34">
        <v>1110</v>
      </c>
      <c r="C413" s="79" t="s">
        <v>58</v>
      </c>
      <c r="D413" s="75">
        <v>45623</v>
      </c>
      <c r="E413" s="34" t="s">
        <v>25</v>
      </c>
      <c r="F413" s="34" t="s">
        <v>238</v>
      </c>
      <c r="G413" s="34" t="s">
        <v>239</v>
      </c>
      <c r="H413" s="35" t="s">
        <v>151</v>
      </c>
      <c r="I413" s="35" t="s">
        <v>240</v>
      </c>
      <c r="J413" s="47" t="s">
        <v>34</v>
      </c>
      <c r="K413" s="34" t="s">
        <v>241</v>
      </c>
      <c r="L413" s="156"/>
      <c r="M413" s="151"/>
      <c r="N413" s="151"/>
      <c r="O413" s="151"/>
      <c r="P413" s="151"/>
      <c r="Q413" s="151"/>
    </row>
    <row r="414" spans="1:17" ht="14.25" customHeight="1">
      <c r="A414" s="34">
        <v>804</v>
      </c>
      <c r="B414" s="34">
        <v>1108</v>
      </c>
      <c r="C414" s="79" t="s">
        <v>24</v>
      </c>
      <c r="D414" s="75">
        <v>45622</v>
      </c>
      <c r="E414" s="34" t="s">
        <v>19</v>
      </c>
      <c r="F414" s="34" t="s">
        <v>242</v>
      </c>
      <c r="G414" s="34" t="s">
        <v>243</v>
      </c>
      <c r="H414" s="35" t="s">
        <v>160</v>
      </c>
      <c r="I414" s="35" t="s">
        <v>244</v>
      </c>
      <c r="J414" s="69" t="s">
        <v>50</v>
      </c>
      <c r="K414" s="34" t="s">
        <v>51</v>
      </c>
      <c r="L414" s="156"/>
      <c r="M414" s="151"/>
      <c r="N414" s="151"/>
      <c r="O414" s="151"/>
      <c r="P414" s="151"/>
      <c r="Q414" s="151"/>
    </row>
    <row r="415" spans="1:17" ht="14.25" customHeight="1">
      <c r="A415" s="34">
        <v>803</v>
      </c>
      <c r="B415" s="81"/>
      <c r="C415" s="79" t="s">
        <v>245</v>
      </c>
      <c r="D415" s="75">
        <v>45621</v>
      </c>
      <c r="E415" s="34" t="s">
        <v>25</v>
      </c>
      <c r="F415" s="34" t="s">
        <v>246</v>
      </c>
      <c r="G415" s="34" t="s">
        <v>247</v>
      </c>
      <c r="H415" s="35" t="s">
        <v>248</v>
      </c>
      <c r="I415" s="35" t="s">
        <v>249</v>
      </c>
      <c r="J415" s="47" t="s">
        <v>34</v>
      </c>
      <c r="K415" s="34" t="s">
        <v>35</v>
      </c>
      <c r="L415" s="156"/>
      <c r="M415" s="151"/>
      <c r="N415" s="151"/>
      <c r="O415" s="151"/>
      <c r="P415" s="151"/>
      <c r="Q415" s="151"/>
    </row>
    <row r="416" spans="1:17" ht="14.25" customHeight="1">
      <c r="A416" s="34">
        <v>802</v>
      </c>
      <c r="B416" s="34">
        <v>1107</v>
      </c>
      <c r="C416" s="79" t="s">
        <v>250</v>
      </c>
      <c r="D416" s="75">
        <v>45621</v>
      </c>
      <c r="E416" s="34" t="s">
        <v>25</v>
      </c>
      <c r="F416" s="34" t="s">
        <v>251</v>
      </c>
      <c r="G416" s="34" t="s">
        <v>252</v>
      </c>
      <c r="H416" s="35" t="s">
        <v>253</v>
      </c>
      <c r="I416" s="35" t="s">
        <v>254</v>
      </c>
      <c r="J416" s="47" t="s">
        <v>34</v>
      </c>
      <c r="K416" s="34" t="s">
        <v>35</v>
      </c>
      <c r="L416" s="156"/>
      <c r="M416" s="151"/>
      <c r="N416" s="151"/>
      <c r="O416" s="151"/>
      <c r="P416" s="151"/>
      <c r="Q416" s="151"/>
    </row>
    <row r="417" spans="1:17" ht="14.25" customHeight="1">
      <c r="A417" s="34">
        <v>801</v>
      </c>
      <c r="B417" s="34">
        <v>1106</v>
      </c>
      <c r="C417" s="79" t="s">
        <v>255</v>
      </c>
      <c r="D417" s="75">
        <v>45621</v>
      </c>
      <c r="E417" s="34" t="s">
        <v>25</v>
      </c>
      <c r="F417" s="34" t="s">
        <v>256</v>
      </c>
      <c r="G417" s="34" t="s">
        <v>257</v>
      </c>
      <c r="H417" s="35" t="s">
        <v>1836</v>
      </c>
      <c r="I417" s="35" t="s">
        <v>258</v>
      </c>
      <c r="J417" s="47" t="s">
        <v>34</v>
      </c>
      <c r="K417" s="34" t="s">
        <v>35</v>
      </c>
      <c r="L417" s="156"/>
      <c r="M417" s="151"/>
      <c r="N417" s="151"/>
      <c r="O417" s="151"/>
      <c r="P417" s="151"/>
      <c r="Q417" s="151"/>
    </row>
    <row r="418" spans="1:17" ht="14.25" customHeight="1">
      <c r="A418" s="34">
        <v>800</v>
      </c>
      <c r="B418" s="81"/>
      <c r="C418" s="79" t="s">
        <v>259</v>
      </c>
      <c r="D418" s="75">
        <v>45621</v>
      </c>
      <c r="E418" s="34" t="s">
        <v>25</v>
      </c>
      <c r="F418" s="34" t="s">
        <v>260</v>
      </c>
      <c r="G418" s="34" t="s">
        <v>261</v>
      </c>
      <c r="H418" s="35" t="s">
        <v>1837</v>
      </c>
      <c r="I418" s="35" t="s">
        <v>262</v>
      </c>
      <c r="J418" s="47" t="s">
        <v>34</v>
      </c>
      <c r="K418" s="34" t="s">
        <v>35</v>
      </c>
      <c r="L418" s="156"/>
      <c r="M418" s="151"/>
      <c r="N418" s="151"/>
      <c r="O418" s="151"/>
      <c r="P418" s="151"/>
      <c r="Q418" s="151"/>
    </row>
    <row r="419" spans="1:17" ht="14.25" customHeight="1">
      <c r="A419" s="34">
        <v>799</v>
      </c>
      <c r="B419" s="82"/>
      <c r="C419" s="79" t="s">
        <v>263</v>
      </c>
      <c r="D419" s="75">
        <v>45619</v>
      </c>
      <c r="E419" s="34" t="s">
        <v>264</v>
      </c>
      <c r="F419" s="34" t="s">
        <v>265</v>
      </c>
      <c r="G419" s="34" t="s">
        <v>197</v>
      </c>
      <c r="H419" s="34" t="s">
        <v>266</v>
      </c>
      <c r="I419" s="34" t="s">
        <v>267</v>
      </c>
      <c r="J419" s="83" t="s">
        <v>1894</v>
      </c>
      <c r="K419" s="84" t="s">
        <v>1895</v>
      </c>
      <c r="L419" s="156"/>
      <c r="M419" s="151"/>
      <c r="N419" s="151"/>
      <c r="O419" s="151"/>
      <c r="P419" s="151"/>
      <c r="Q419" s="151"/>
    </row>
    <row r="420" spans="1:17" ht="14.25" customHeight="1">
      <c r="A420" s="34" t="s">
        <v>268</v>
      </c>
      <c r="B420" s="34">
        <v>951</v>
      </c>
      <c r="C420" s="79" t="s">
        <v>269</v>
      </c>
      <c r="D420" s="34"/>
      <c r="E420" s="34" t="s">
        <v>222</v>
      </c>
      <c r="F420" s="34" t="s">
        <v>223</v>
      </c>
      <c r="G420" s="34" t="s">
        <v>197</v>
      </c>
      <c r="H420" s="34" t="s">
        <v>270</v>
      </c>
      <c r="I420" s="34"/>
      <c r="J420" s="47" t="s">
        <v>34</v>
      </c>
      <c r="K420" s="34" t="s">
        <v>35</v>
      </c>
      <c r="L420" s="156"/>
      <c r="M420" s="151"/>
      <c r="N420" s="151"/>
      <c r="O420" s="151"/>
      <c r="P420" s="151"/>
      <c r="Q420" s="151"/>
    </row>
    <row r="421" spans="1:17" ht="14.25" customHeight="1">
      <c r="A421" s="34">
        <v>798</v>
      </c>
      <c r="B421" s="34">
        <v>1103</v>
      </c>
      <c r="C421" s="34" t="s">
        <v>271</v>
      </c>
      <c r="D421" s="75">
        <v>45615</v>
      </c>
      <c r="E421" s="75" t="s">
        <v>25</v>
      </c>
      <c r="F421" s="75" t="s">
        <v>272</v>
      </c>
      <c r="G421" s="75" t="s">
        <v>197</v>
      </c>
      <c r="H421" s="75" t="s">
        <v>273</v>
      </c>
      <c r="I421" s="75"/>
      <c r="J421" s="47" t="s">
        <v>34</v>
      </c>
      <c r="K421" s="34" t="s">
        <v>35</v>
      </c>
      <c r="L421" s="156"/>
      <c r="M421" s="151"/>
      <c r="N421" s="151"/>
      <c r="O421" s="151"/>
      <c r="P421" s="151"/>
      <c r="Q421" s="151"/>
    </row>
    <row r="422" spans="1:17" ht="14.25" customHeight="1">
      <c r="A422" s="34" t="s">
        <v>274</v>
      </c>
      <c r="B422" s="34">
        <v>1098</v>
      </c>
      <c r="C422" s="34" t="s">
        <v>275</v>
      </c>
      <c r="D422" s="75">
        <v>45612</v>
      </c>
      <c r="E422" s="75" t="s">
        <v>276</v>
      </c>
      <c r="F422" s="75" t="s">
        <v>277</v>
      </c>
      <c r="G422" s="75" t="s">
        <v>278</v>
      </c>
      <c r="H422" s="75" t="s">
        <v>279</v>
      </c>
      <c r="I422" s="75" t="s">
        <v>280</v>
      </c>
      <c r="J422" s="47" t="s">
        <v>34</v>
      </c>
      <c r="K422" s="34" t="s">
        <v>35</v>
      </c>
      <c r="L422" s="156"/>
      <c r="M422" s="151"/>
      <c r="N422" s="151"/>
      <c r="O422" s="151"/>
      <c r="P422" s="151"/>
      <c r="Q422" s="151"/>
    </row>
    <row r="423" spans="1:17" ht="14.25" customHeight="1">
      <c r="A423" s="34" t="s">
        <v>281</v>
      </c>
      <c r="B423" s="34">
        <v>1100</v>
      </c>
      <c r="C423" s="34" t="s">
        <v>275</v>
      </c>
      <c r="D423" s="75">
        <v>45612</v>
      </c>
      <c r="E423" s="75" t="s">
        <v>276</v>
      </c>
      <c r="F423" s="75" t="s">
        <v>277</v>
      </c>
      <c r="G423" s="75" t="s">
        <v>282</v>
      </c>
      <c r="H423" s="75" t="s">
        <v>279</v>
      </c>
      <c r="I423" s="75" t="s">
        <v>283</v>
      </c>
      <c r="J423" s="47" t="s">
        <v>34</v>
      </c>
      <c r="K423" s="34" t="s">
        <v>35</v>
      </c>
      <c r="L423" s="156"/>
      <c r="M423" s="151"/>
      <c r="N423" s="151"/>
      <c r="O423" s="151"/>
      <c r="P423" s="151"/>
      <c r="Q423" s="151"/>
    </row>
    <row r="424" spans="1:17" ht="14.25" customHeight="1">
      <c r="A424" s="34" t="s">
        <v>284</v>
      </c>
      <c r="B424" s="34">
        <v>1105</v>
      </c>
      <c r="C424" s="34" t="s">
        <v>285</v>
      </c>
      <c r="D424" s="75">
        <v>45615</v>
      </c>
      <c r="E424" s="75" t="s">
        <v>19</v>
      </c>
      <c r="F424" s="75" t="s">
        <v>242</v>
      </c>
      <c r="G424" s="75" t="s">
        <v>286</v>
      </c>
      <c r="H424" s="35" t="s">
        <v>160</v>
      </c>
      <c r="I424" s="35" t="s">
        <v>267</v>
      </c>
      <c r="J424" s="47" t="s">
        <v>34</v>
      </c>
      <c r="K424" s="34" t="s">
        <v>35</v>
      </c>
      <c r="L424" s="156"/>
      <c r="M424" s="151"/>
      <c r="N424" s="151"/>
      <c r="O424" s="151"/>
      <c r="P424" s="151"/>
      <c r="Q424" s="151"/>
    </row>
    <row r="425" spans="1:17" ht="14.25" customHeight="1">
      <c r="A425" s="34" t="s">
        <v>287</v>
      </c>
      <c r="B425" s="34">
        <v>729</v>
      </c>
      <c r="C425" s="34" t="s">
        <v>285</v>
      </c>
      <c r="D425" s="75">
        <v>45615</v>
      </c>
      <c r="E425" s="75" t="s">
        <v>19</v>
      </c>
      <c r="F425" s="75" t="s">
        <v>242</v>
      </c>
      <c r="G425" s="75" t="s">
        <v>288</v>
      </c>
      <c r="H425" s="35" t="s">
        <v>289</v>
      </c>
      <c r="I425" s="35" t="s">
        <v>244</v>
      </c>
      <c r="J425" s="47" t="s">
        <v>34</v>
      </c>
      <c r="K425" s="34" t="s">
        <v>142</v>
      </c>
      <c r="L425" s="156"/>
      <c r="M425" s="151"/>
      <c r="N425" s="151"/>
      <c r="O425" s="151"/>
      <c r="P425" s="151"/>
      <c r="Q425" s="151"/>
    </row>
    <row r="426" spans="1:17" ht="14.25" customHeight="1">
      <c r="A426" s="34" t="s">
        <v>290</v>
      </c>
      <c r="B426" s="34">
        <v>1104</v>
      </c>
      <c r="C426" s="34" t="s">
        <v>285</v>
      </c>
      <c r="D426" s="75">
        <v>45615</v>
      </c>
      <c r="E426" s="75" t="s">
        <v>19</v>
      </c>
      <c r="F426" s="75" t="s">
        <v>291</v>
      </c>
      <c r="G426" s="75" t="s">
        <v>292</v>
      </c>
      <c r="H426" s="35" t="s">
        <v>293</v>
      </c>
      <c r="I426" s="35" t="s">
        <v>294</v>
      </c>
      <c r="J426" s="47" t="s">
        <v>34</v>
      </c>
      <c r="K426" s="34" t="s">
        <v>35</v>
      </c>
      <c r="L426" s="156"/>
      <c r="M426" s="151"/>
      <c r="N426" s="151"/>
      <c r="O426" s="151"/>
      <c r="P426" s="151"/>
      <c r="Q426" s="151"/>
    </row>
    <row r="427" spans="1:17" ht="14.25" customHeight="1">
      <c r="A427" s="34">
        <v>796</v>
      </c>
      <c r="B427" s="34" t="s">
        <v>197</v>
      </c>
      <c r="C427" s="34" t="s">
        <v>295</v>
      </c>
      <c r="D427" s="75">
        <v>45615</v>
      </c>
      <c r="E427" s="75" t="s">
        <v>13</v>
      </c>
      <c r="F427" s="75" t="s">
        <v>13</v>
      </c>
      <c r="G427" s="75" t="s">
        <v>13</v>
      </c>
      <c r="H427" s="35" t="s">
        <v>296</v>
      </c>
      <c r="I427" s="35" t="s">
        <v>13</v>
      </c>
      <c r="J427" s="47" t="s">
        <v>34</v>
      </c>
      <c r="K427" s="34" t="s">
        <v>297</v>
      </c>
      <c r="L427" s="156"/>
      <c r="M427" s="151"/>
      <c r="N427" s="151"/>
      <c r="O427" s="151"/>
      <c r="P427" s="151"/>
      <c r="Q427" s="151"/>
    </row>
    <row r="428" spans="1:17" ht="14.25" customHeight="1">
      <c r="A428" s="34" t="s">
        <v>298</v>
      </c>
      <c r="B428" s="34">
        <v>1099</v>
      </c>
      <c r="C428" s="75" t="s">
        <v>299</v>
      </c>
      <c r="D428" s="75">
        <v>45614</v>
      </c>
      <c r="E428" s="75" t="s">
        <v>25</v>
      </c>
      <c r="F428" s="75" t="s">
        <v>300</v>
      </c>
      <c r="G428" s="75" t="s">
        <v>301</v>
      </c>
      <c r="H428" s="35" t="s">
        <v>279</v>
      </c>
      <c r="I428" s="35" t="s">
        <v>302</v>
      </c>
      <c r="J428" s="47" t="s">
        <v>34</v>
      </c>
      <c r="K428" s="34" t="s">
        <v>35</v>
      </c>
      <c r="L428" s="156"/>
      <c r="M428" s="151"/>
      <c r="N428" s="151"/>
      <c r="O428" s="151"/>
      <c r="P428" s="151"/>
      <c r="Q428" s="151"/>
    </row>
    <row r="429" spans="1:17" ht="14.25" customHeight="1">
      <c r="A429" s="34" t="s">
        <v>303</v>
      </c>
      <c r="B429" s="34">
        <v>1101</v>
      </c>
      <c r="C429" s="75" t="s">
        <v>299</v>
      </c>
      <c r="D429" s="75">
        <v>45614</v>
      </c>
      <c r="E429" s="75" t="s">
        <v>11</v>
      </c>
      <c r="F429" s="75" t="s">
        <v>12</v>
      </c>
      <c r="G429" s="75" t="s">
        <v>197</v>
      </c>
      <c r="H429" s="35" t="s">
        <v>304</v>
      </c>
      <c r="I429" s="35" t="s">
        <v>305</v>
      </c>
      <c r="J429" s="47" t="s">
        <v>34</v>
      </c>
      <c r="K429" s="34" t="s">
        <v>306</v>
      </c>
      <c r="L429" s="156"/>
      <c r="M429" s="151"/>
      <c r="N429" s="151"/>
      <c r="O429" s="151"/>
      <c r="P429" s="151"/>
      <c r="Q429" s="151"/>
    </row>
    <row r="430" spans="1:17" ht="14.25" customHeight="1">
      <c r="A430" s="34">
        <v>795</v>
      </c>
      <c r="B430" s="71" t="s">
        <v>307</v>
      </c>
      <c r="C430" s="75" t="s">
        <v>308</v>
      </c>
      <c r="D430" s="75">
        <v>45612</v>
      </c>
      <c r="E430" s="75" t="s">
        <v>25</v>
      </c>
      <c r="F430" s="75" t="s">
        <v>309</v>
      </c>
      <c r="G430" s="75" t="s">
        <v>310</v>
      </c>
      <c r="H430" s="35" t="s">
        <v>151</v>
      </c>
      <c r="I430" s="35" t="s">
        <v>311</v>
      </c>
      <c r="J430" s="47" t="s">
        <v>34</v>
      </c>
      <c r="K430" s="34" t="s">
        <v>312</v>
      </c>
      <c r="L430" s="156"/>
      <c r="M430" s="151"/>
      <c r="N430" s="151"/>
      <c r="O430" s="151"/>
      <c r="P430" s="151"/>
      <c r="Q430" s="151"/>
    </row>
    <row r="431" spans="1:17" ht="14.25" customHeight="1">
      <c r="A431" s="34" t="s">
        <v>313</v>
      </c>
      <c r="B431" s="34">
        <v>1095</v>
      </c>
      <c r="C431" s="75" t="s">
        <v>314</v>
      </c>
      <c r="D431" s="75">
        <v>45610</v>
      </c>
      <c r="E431" s="75" t="s">
        <v>315</v>
      </c>
      <c r="F431" s="75" t="s">
        <v>316</v>
      </c>
      <c r="G431" s="75" t="s">
        <v>197</v>
      </c>
      <c r="H431" s="35" t="s">
        <v>317</v>
      </c>
      <c r="I431" s="35" t="s">
        <v>318</v>
      </c>
      <c r="J431" s="85" t="s">
        <v>34</v>
      </c>
      <c r="K431" s="34" t="s">
        <v>142</v>
      </c>
      <c r="L431" s="156"/>
      <c r="M431" s="151"/>
      <c r="N431" s="151"/>
      <c r="O431" s="151"/>
      <c r="P431" s="151"/>
      <c r="Q431" s="151"/>
    </row>
    <row r="432" spans="1:17" ht="14.25" customHeight="1">
      <c r="A432" s="34" t="s">
        <v>319</v>
      </c>
      <c r="B432" s="34">
        <v>1096</v>
      </c>
      <c r="C432" s="75" t="s">
        <v>314</v>
      </c>
      <c r="D432" s="75">
        <v>45610</v>
      </c>
      <c r="E432" s="75" t="s">
        <v>315</v>
      </c>
      <c r="F432" s="75" t="s">
        <v>316</v>
      </c>
      <c r="G432" s="75" t="s">
        <v>197</v>
      </c>
      <c r="H432" s="35" t="s">
        <v>317</v>
      </c>
      <c r="I432" s="35" t="s">
        <v>318</v>
      </c>
      <c r="J432" s="85" t="s">
        <v>34</v>
      </c>
      <c r="K432" s="34" t="s">
        <v>142</v>
      </c>
      <c r="L432" s="156"/>
      <c r="M432" s="151"/>
      <c r="N432" s="151"/>
      <c r="O432" s="151"/>
      <c r="P432" s="151"/>
      <c r="Q432" s="151"/>
    </row>
    <row r="433" spans="1:17" ht="14.25" customHeight="1">
      <c r="A433" s="34">
        <v>792</v>
      </c>
      <c r="B433" s="34">
        <v>1097</v>
      </c>
      <c r="C433" s="75" t="s">
        <v>320</v>
      </c>
      <c r="D433" s="75">
        <v>45611</v>
      </c>
      <c r="E433" s="75" t="s">
        <v>315</v>
      </c>
      <c r="F433" s="75" t="s">
        <v>321</v>
      </c>
      <c r="G433" s="86">
        <v>445113001</v>
      </c>
      <c r="H433" s="35" t="s">
        <v>322</v>
      </c>
      <c r="I433" s="35" t="s">
        <v>323</v>
      </c>
      <c r="J433" s="47" t="s">
        <v>34</v>
      </c>
      <c r="K433" s="34" t="s">
        <v>35</v>
      </c>
      <c r="L433" s="156"/>
      <c r="M433" s="151"/>
      <c r="N433" s="151"/>
      <c r="O433" s="151"/>
      <c r="P433" s="151"/>
      <c r="Q433" s="151"/>
    </row>
    <row r="434" spans="1:17" ht="14.25" customHeight="1">
      <c r="A434" s="34">
        <v>793</v>
      </c>
      <c r="B434" s="71" t="s">
        <v>197</v>
      </c>
      <c r="C434" s="75" t="s">
        <v>324</v>
      </c>
      <c r="D434" s="75">
        <v>45611</v>
      </c>
      <c r="E434" s="75" t="s">
        <v>315</v>
      </c>
      <c r="F434" s="75" t="s">
        <v>325</v>
      </c>
      <c r="G434" s="75"/>
      <c r="H434" s="35" t="s">
        <v>326</v>
      </c>
      <c r="I434" s="35" t="s">
        <v>327</v>
      </c>
      <c r="J434" s="47" t="s">
        <v>34</v>
      </c>
      <c r="K434" s="34" t="s">
        <v>35</v>
      </c>
      <c r="L434" s="156"/>
      <c r="M434" s="151"/>
      <c r="N434" s="151"/>
      <c r="O434" s="151"/>
      <c r="P434" s="151"/>
      <c r="Q434" s="151"/>
    </row>
    <row r="435" spans="1:17" ht="15.75" customHeight="1">
      <c r="A435" s="34">
        <v>794</v>
      </c>
      <c r="B435" s="71" t="s">
        <v>197</v>
      </c>
      <c r="C435" s="75" t="s">
        <v>245</v>
      </c>
      <c r="D435" s="75">
        <v>45611</v>
      </c>
      <c r="E435" s="75" t="s">
        <v>19</v>
      </c>
      <c r="F435" s="75" t="s">
        <v>328</v>
      </c>
      <c r="G435" s="75" t="s">
        <v>329</v>
      </c>
      <c r="H435" s="35" t="s">
        <v>330</v>
      </c>
      <c r="I435" s="35" t="s">
        <v>331</v>
      </c>
      <c r="J435" s="47" t="s">
        <v>34</v>
      </c>
      <c r="K435" s="34" t="s">
        <v>35</v>
      </c>
      <c r="L435" s="156"/>
      <c r="M435" s="151"/>
      <c r="N435" s="151"/>
      <c r="O435" s="151"/>
      <c r="P435" s="151"/>
      <c r="Q435" s="151"/>
    </row>
    <row r="436" spans="1:17" ht="14.25" customHeight="1">
      <c r="A436" s="34">
        <v>790</v>
      </c>
      <c r="B436" s="34">
        <v>1094</v>
      </c>
      <c r="C436" s="75" t="s">
        <v>332</v>
      </c>
      <c r="D436" s="75">
        <v>45609</v>
      </c>
      <c r="E436" s="75" t="s">
        <v>25</v>
      </c>
      <c r="F436" s="75" t="s">
        <v>333</v>
      </c>
      <c r="G436" s="75" t="s">
        <v>334</v>
      </c>
      <c r="H436" s="75" t="s">
        <v>1838</v>
      </c>
      <c r="I436" s="75" t="s">
        <v>335</v>
      </c>
      <c r="J436" s="47" t="s">
        <v>34</v>
      </c>
      <c r="K436" s="34" t="s">
        <v>35</v>
      </c>
      <c r="L436" s="156"/>
      <c r="M436" s="151"/>
      <c r="N436" s="151"/>
      <c r="O436" s="151"/>
      <c r="P436" s="151"/>
      <c r="Q436" s="151"/>
    </row>
    <row r="437" spans="1:17" ht="14.25" customHeight="1">
      <c r="A437" s="34">
        <v>789</v>
      </c>
      <c r="B437" s="34">
        <v>1093</v>
      </c>
      <c r="C437" s="75" t="s">
        <v>336</v>
      </c>
      <c r="D437" s="75">
        <v>45604</v>
      </c>
      <c r="E437" s="75" t="s">
        <v>315</v>
      </c>
      <c r="F437" s="75" t="s">
        <v>337</v>
      </c>
      <c r="G437" s="75" t="s">
        <v>338</v>
      </c>
      <c r="H437" s="75" t="s">
        <v>339</v>
      </c>
      <c r="I437" s="75" t="s">
        <v>340</v>
      </c>
      <c r="J437" s="47" t="s">
        <v>34</v>
      </c>
      <c r="K437" s="34" t="s">
        <v>820</v>
      </c>
      <c r="L437" s="156"/>
      <c r="M437" s="151"/>
      <c r="N437" s="151"/>
      <c r="O437" s="151"/>
      <c r="P437" s="151"/>
      <c r="Q437" s="151"/>
    </row>
    <row r="438" spans="1:17" ht="14.25" customHeight="1">
      <c r="A438" s="34" t="s">
        <v>341</v>
      </c>
      <c r="B438" s="34">
        <v>1091</v>
      </c>
      <c r="C438" s="75" t="s">
        <v>342</v>
      </c>
      <c r="D438" s="75">
        <v>45603</v>
      </c>
      <c r="E438" s="75" t="s">
        <v>315</v>
      </c>
      <c r="F438" s="75" t="s">
        <v>343</v>
      </c>
      <c r="G438" s="34" t="s">
        <v>344</v>
      </c>
      <c r="H438" s="34" t="s">
        <v>95</v>
      </c>
      <c r="I438" s="36" t="s">
        <v>345</v>
      </c>
      <c r="J438" s="47" t="s">
        <v>34</v>
      </c>
      <c r="K438" s="34" t="s">
        <v>35</v>
      </c>
      <c r="L438" s="156"/>
      <c r="M438" s="151"/>
      <c r="N438" s="151"/>
      <c r="O438" s="151"/>
      <c r="P438" s="151"/>
      <c r="Q438" s="151"/>
    </row>
    <row r="439" spans="1:17" ht="14.25" customHeight="1">
      <c r="A439" s="34" t="s">
        <v>346</v>
      </c>
      <c r="B439" s="34">
        <v>1087</v>
      </c>
      <c r="C439" s="75" t="s">
        <v>342</v>
      </c>
      <c r="D439" s="75">
        <v>45603</v>
      </c>
      <c r="E439" s="75" t="s">
        <v>315</v>
      </c>
      <c r="F439" s="75" t="s">
        <v>343</v>
      </c>
      <c r="G439" s="34" t="s">
        <v>347</v>
      </c>
      <c r="H439" s="34" t="s">
        <v>160</v>
      </c>
      <c r="I439" s="36" t="s">
        <v>348</v>
      </c>
      <c r="J439" s="69" t="s">
        <v>50</v>
      </c>
      <c r="K439" s="34" t="s">
        <v>51</v>
      </c>
      <c r="L439" s="156"/>
      <c r="M439" s="151"/>
      <c r="N439" s="151"/>
      <c r="O439" s="151"/>
      <c r="P439" s="151"/>
      <c r="Q439" s="151"/>
    </row>
    <row r="440" spans="1:17" ht="14.25" customHeight="1">
      <c r="A440" s="34" t="s">
        <v>349</v>
      </c>
      <c r="B440" s="34">
        <v>1090</v>
      </c>
      <c r="C440" s="75" t="s">
        <v>342</v>
      </c>
      <c r="D440" s="75">
        <v>45603</v>
      </c>
      <c r="E440" s="75" t="s">
        <v>315</v>
      </c>
      <c r="F440" s="75" t="s">
        <v>343</v>
      </c>
      <c r="G440" s="34" t="s">
        <v>350</v>
      </c>
      <c r="H440" s="34" t="s">
        <v>160</v>
      </c>
      <c r="I440" s="36" t="s">
        <v>351</v>
      </c>
      <c r="J440" s="47" t="s">
        <v>34</v>
      </c>
      <c r="K440" s="34" t="s">
        <v>35</v>
      </c>
      <c r="L440" s="156"/>
      <c r="M440" s="151"/>
      <c r="N440" s="151"/>
      <c r="O440" s="151"/>
      <c r="P440" s="151"/>
      <c r="Q440" s="151"/>
    </row>
    <row r="441" spans="1:17" ht="14.25" customHeight="1">
      <c r="A441" s="34" t="s">
        <v>352</v>
      </c>
      <c r="B441" s="34">
        <v>1089</v>
      </c>
      <c r="C441" s="75" t="s">
        <v>342</v>
      </c>
      <c r="D441" s="75">
        <v>45603</v>
      </c>
      <c r="E441" s="75" t="s">
        <v>315</v>
      </c>
      <c r="F441" s="75" t="s">
        <v>343</v>
      </c>
      <c r="G441" s="34" t="s">
        <v>353</v>
      </c>
      <c r="H441" s="34" t="s">
        <v>160</v>
      </c>
      <c r="I441" s="36" t="s">
        <v>354</v>
      </c>
      <c r="J441" s="47" t="s">
        <v>34</v>
      </c>
      <c r="K441" s="34" t="s">
        <v>35</v>
      </c>
      <c r="L441" s="156"/>
      <c r="M441" s="151"/>
      <c r="N441" s="151"/>
      <c r="O441" s="151"/>
      <c r="P441" s="151"/>
      <c r="Q441" s="151"/>
    </row>
    <row r="442" spans="1:17" ht="14.25" customHeight="1">
      <c r="A442" s="34" t="s">
        <v>355</v>
      </c>
      <c r="B442" s="34">
        <v>1083</v>
      </c>
      <c r="C442" s="75" t="s">
        <v>342</v>
      </c>
      <c r="D442" s="75">
        <v>45603</v>
      </c>
      <c r="E442" s="75" t="s">
        <v>315</v>
      </c>
      <c r="F442" s="75" t="s">
        <v>145</v>
      </c>
      <c r="G442" s="34" t="s">
        <v>356</v>
      </c>
      <c r="H442" s="34" t="s">
        <v>160</v>
      </c>
      <c r="I442" s="36" t="s">
        <v>357</v>
      </c>
      <c r="J442" s="47" t="s">
        <v>34</v>
      </c>
      <c r="K442" s="34" t="s">
        <v>35</v>
      </c>
      <c r="L442" s="156"/>
      <c r="M442" s="151"/>
      <c r="N442" s="151"/>
      <c r="O442" s="151"/>
      <c r="P442" s="151"/>
      <c r="Q442" s="151"/>
    </row>
    <row r="443" spans="1:17" ht="14.25" customHeight="1">
      <c r="A443" s="34" t="s">
        <v>358</v>
      </c>
      <c r="B443" s="34">
        <v>1092</v>
      </c>
      <c r="C443" s="75" t="s">
        <v>342</v>
      </c>
      <c r="D443" s="75">
        <v>45603</v>
      </c>
      <c r="E443" s="75" t="s">
        <v>315</v>
      </c>
      <c r="F443" s="75" t="s">
        <v>359</v>
      </c>
      <c r="G443" s="34" t="s">
        <v>360</v>
      </c>
      <c r="H443" s="34" t="s">
        <v>361</v>
      </c>
      <c r="I443" s="36" t="s">
        <v>362</v>
      </c>
      <c r="J443" s="47" t="s">
        <v>34</v>
      </c>
      <c r="K443" s="34" t="s">
        <v>35</v>
      </c>
      <c r="L443" s="156"/>
      <c r="M443" s="151"/>
      <c r="N443" s="151"/>
      <c r="O443" s="151"/>
      <c r="P443" s="151"/>
      <c r="Q443" s="151"/>
    </row>
    <row r="444" spans="1:17" ht="14.25" customHeight="1">
      <c r="A444" s="34" t="s">
        <v>363</v>
      </c>
      <c r="B444" s="34">
        <v>1088</v>
      </c>
      <c r="C444" s="75" t="s">
        <v>342</v>
      </c>
      <c r="D444" s="75">
        <v>45603</v>
      </c>
      <c r="E444" s="75" t="s">
        <v>315</v>
      </c>
      <c r="F444" s="75" t="s">
        <v>145</v>
      </c>
      <c r="G444" s="34" t="s">
        <v>364</v>
      </c>
      <c r="H444" s="34" t="s">
        <v>160</v>
      </c>
      <c r="I444" s="36" t="s">
        <v>357</v>
      </c>
      <c r="J444" s="47" t="s">
        <v>34</v>
      </c>
      <c r="K444" s="34" t="s">
        <v>35</v>
      </c>
      <c r="L444" s="156"/>
      <c r="M444" s="151"/>
      <c r="N444" s="151"/>
      <c r="O444" s="151"/>
      <c r="P444" s="151"/>
      <c r="Q444" s="151"/>
    </row>
    <row r="445" spans="1:17" ht="14.25" customHeight="1">
      <c r="A445" s="34" t="s">
        <v>365</v>
      </c>
      <c r="B445" s="34">
        <v>1085</v>
      </c>
      <c r="C445" s="75" t="s">
        <v>342</v>
      </c>
      <c r="D445" s="75">
        <v>45603</v>
      </c>
      <c r="E445" s="75" t="s">
        <v>315</v>
      </c>
      <c r="F445" s="75" t="s">
        <v>145</v>
      </c>
      <c r="G445" s="34" t="s">
        <v>366</v>
      </c>
      <c r="H445" s="34" t="s">
        <v>160</v>
      </c>
      <c r="I445" s="36" t="s">
        <v>367</v>
      </c>
      <c r="J445" s="47" t="s">
        <v>34</v>
      </c>
      <c r="K445" s="34" t="s">
        <v>35</v>
      </c>
      <c r="L445" s="156"/>
      <c r="M445" s="151"/>
      <c r="N445" s="151"/>
      <c r="O445" s="151"/>
      <c r="P445" s="151"/>
      <c r="Q445" s="151"/>
    </row>
    <row r="446" spans="1:17" ht="14.25" customHeight="1">
      <c r="A446" s="34" t="s">
        <v>368</v>
      </c>
      <c r="B446" s="34">
        <v>1086</v>
      </c>
      <c r="C446" s="75" t="s">
        <v>342</v>
      </c>
      <c r="D446" s="75">
        <v>45603</v>
      </c>
      <c r="E446" s="75" t="s">
        <v>315</v>
      </c>
      <c r="F446" s="75" t="s">
        <v>145</v>
      </c>
      <c r="G446" s="34" t="s">
        <v>369</v>
      </c>
      <c r="H446" s="36" t="s">
        <v>370</v>
      </c>
      <c r="I446" s="34" t="s">
        <v>371</v>
      </c>
      <c r="J446" s="47" t="s">
        <v>34</v>
      </c>
      <c r="K446" s="34" t="s">
        <v>35</v>
      </c>
      <c r="L446" s="156"/>
      <c r="M446" s="151"/>
      <c r="N446" s="151"/>
      <c r="O446" s="151"/>
      <c r="P446" s="151"/>
      <c r="Q446" s="151"/>
    </row>
    <row r="447" spans="1:17" ht="14.25" customHeight="1">
      <c r="A447" s="34">
        <v>786</v>
      </c>
      <c r="B447" s="34">
        <v>1082</v>
      </c>
      <c r="C447" s="75" t="s">
        <v>372</v>
      </c>
      <c r="D447" s="75">
        <v>45603</v>
      </c>
      <c r="E447" s="34" t="s">
        <v>19</v>
      </c>
      <c r="F447" s="34" t="s">
        <v>373</v>
      </c>
      <c r="G447" s="34" t="s">
        <v>374</v>
      </c>
      <c r="H447" s="87" t="s">
        <v>375</v>
      </c>
      <c r="I447" s="75" t="s">
        <v>376</v>
      </c>
      <c r="J447" s="47" t="s">
        <v>34</v>
      </c>
      <c r="K447" s="34" t="s">
        <v>35</v>
      </c>
      <c r="L447" s="156"/>
      <c r="M447" s="151"/>
      <c r="N447" s="151"/>
      <c r="O447" s="151"/>
      <c r="P447" s="151"/>
      <c r="Q447" s="151"/>
    </row>
    <row r="448" spans="1:17" ht="14.25" customHeight="1">
      <c r="A448" s="34">
        <v>784</v>
      </c>
      <c r="B448" s="34">
        <v>1093</v>
      </c>
      <c r="C448" s="75" t="s">
        <v>377</v>
      </c>
      <c r="D448" s="75">
        <v>45602</v>
      </c>
      <c r="E448" s="75" t="s">
        <v>378</v>
      </c>
      <c r="F448" s="75" t="s">
        <v>379</v>
      </c>
      <c r="G448" s="34">
        <v>79401196</v>
      </c>
      <c r="H448" s="87" t="s">
        <v>380</v>
      </c>
      <c r="I448" s="75" t="s">
        <v>262</v>
      </c>
      <c r="J448" s="47" t="s">
        <v>34</v>
      </c>
      <c r="K448" s="34" t="s">
        <v>35</v>
      </c>
      <c r="L448" s="156"/>
      <c r="M448" s="151"/>
      <c r="N448" s="151"/>
      <c r="O448" s="151"/>
      <c r="P448" s="151"/>
      <c r="Q448" s="151"/>
    </row>
    <row r="449" spans="1:17" ht="14.25" customHeight="1">
      <c r="A449" s="34" t="s">
        <v>381</v>
      </c>
      <c r="B449" s="34">
        <v>1081</v>
      </c>
      <c r="C449" s="37" t="s">
        <v>195</v>
      </c>
      <c r="D449" s="75">
        <v>45602</v>
      </c>
      <c r="E449" s="37" t="s">
        <v>25</v>
      </c>
      <c r="F449" s="37" t="s">
        <v>227</v>
      </c>
      <c r="G449" s="37" t="s">
        <v>382</v>
      </c>
      <c r="H449" s="37" t="s">
        <v>383</v>
      </c>
      <c r="I449" s="37" t="s">
        <v>384</v>
      </c>
      <c r="J449" s="47" t="s">
        <v>34</v>
      </c>
      <c r="K449" s="34" t="s">
        <v>35</v>
      </c>
      <c r="L449" s="156"/>
      <c r="M449" s="151"/>
      <c r="N449" s="151"/>
      <c r="O449" s="151"/>
      <c r="P449" s="151"/>
      <c r="Q449" s="151"/>
    </row>
    <row r="450" spans="1:17" ht="14.25" customHeight="1">
      <c r="A450" s="34" t="s">
        <v>385</v>
      </c>
      <c r="B450" s="34">
        <v>1080</v>
      </c>
      <c r="C450" s="37" t="s">
        <v>386</v>
      </c>
      <c r="D450" s="75">
        <v>45602</v>
      </c>
      <c r="E450" s="37" t="s">
        <v>25</v>
      </c>
      <c r="F450" s="37" t="s">
        <v>387</v>
      </c>
      <c r="G450" s="37" t="s">
        <v>388</v>
      </c>
      <c r="H450" s="37" t="s">
        <v>389</v>
      </c>
      <c r="I450" s="37" t="s">
        <v>311</v>
      </c>
      <c r="J450" s="85" t="s">
        <v>34</v>
      </c>
      <c r="K450" s="34" t="s">
        <v>35</v>
      </c>
      <c r="L450" s="156"/>
      <c r="M450" s="151"/>
      <c r="N450" s="151"/>
      <c r="O450" s="151"/>
      <c r="P450" s="151"/>
      <c r="Q450" s="151"/>
    </row>
    <row r="451" spans="1:17" ht="14.25" customHeight="1">
      <c r="A451" s="37">
        <v>782</v>
      </c>
      <c r="B451" s="37">
        <v>1079</v>
      </c>
      <c r="C451" s="37" t="s">
        <v>390</v>
      </c>
      <c r="D451" s="75">
        <v>45601</v>
      </c>
      <c r="E451" s="37" t="s">
        <v>25</v>
      </c>
      <c r="F451" s="37" t="s">
        <v>316</v>
      </c>
      <c r="G451" s="37" t="s">
        <v>197</v>
      </c>
      <c r="H451" s="37" t="s">
        <v>1839</v>
      </c>
      <c r="I451" s="37" t="s">
        <v>318</v>
      </c>
      <c r="J451" s="47" t="s">
        <v>34</v>
      </c>
      <c r="K451" s="34" t="s">
        <v>142</v>
      </c>
      <c r="L451" s="156"/>
      <c r="M451" s="151"/>
      <c r="N451" s="151"/>
      <c r="O451" s="151"/>
      <c r="P451" s="151"/>
      <c r="Q451" s="151"/>
    </row>
    <row r="452" spans="1:17" ht="14.25" customHeight="1">
      <c r="A452" s="34">
        <v>673</v>
      </c>
      <c r="B452" s="34">
        <v>965</v>
      </c>
      <c r="C452" s="34" t="s">
        <v>391</v>
      </c>
      <c r="D452" s="75">
        <v>45476</v>
      </c>
      <c r="E452" s="75" t="s">
        <v>392</v>
      </c>
      <c r="F452" s="75" t="s">
        <v>393</v>
      </c>
      <c r="G452" s="86">
        <v>20230810213</v>
      </c>
      <c r="H452" s="75" t="s">
        <v>394</v>
      </c>
      <c r="I452" s="75"/>
      <c r="J452" s="85" t="s">
        <v>34</v>
      </c>
      <c r="K452" s="34" t="s">
        <v>142</v>
      </c>
      <c r="L452" s="156"/>
      <c r="M452" s="151"/>
      <c r="N452" s="151"/>
      <c r="O452" s="151"/>
      <c r="P452" s="151"/>
      <c r="Q452" s="151"/>
    </row>
    <row r="453" spans="1:17" ht="14.25" customHeight="1">
      <c r="A453" s="34">
        <v>781</v>
      </c>
      <c r="B453" s="34">
        <v>1077</v>
      </c>
      <c r="C453" s="34" t="s">
        <v>24</v>
      </c>
      <c r="D453" s="75">
        <v>45596</v>
      </c>
      <c r="E453" s="75" t="s">
        <v>29</v>
      </c>
      <c r="F453" s="75" t="s">
        <v>395</v>
      </c>
      <c r="G453" s="75" t="s">
        <v>396</v>
      </c>
      <c r="H453" s="87" t="s">
        <v>397</v>
      </c>
      <c r="I453" s="75" t="s">
        <v>398</v>
      </c>
      <c r="J453" s="73" t="s">
        <v>34</v>
      </c>
      <c r="K453" s="34" t="s">
        <v>820</v>
      </c>
      <c r="L453" s="156"/>
      <c r="M453" s="151"/>
      <c r="N453" s="151"/>
      <c r="O453" s="151"/>
      <c r="P453" s="151"/>
      <c r="Q453" s="151"/>
    </row>
    <row r="454" spans="1:17" ht="14.25" customHeight="1">
      <c r="A454" s="34">
        <v>780</v>
      </c>
      <c r="B454" s="34">
        <v>1078</v>
      </c>
      <c r="C454" s="34" t="s">
        <v>24</v>
      </c>
      <c r="D454" s="75">
        <v>45595</v>
      </c>
      <c r="E454" s="34" t="s">
        <v>399</v>
      </c>
      <c r="F454" s="34" t="s">
        <v>400</v>
      </c>
      <c r="G454" s="34" t="s">
        <v>197</v>
      </c>
      <c r="H454" s="37" t="s">
        <v>401</v>
      </c>
      <c r="I454" s="37" t="s">
        <v>402</v>
      </c>
      <c r="J454" s="47" t="s">
        <v>34</v>
      </c>
      <c r="K454" s="34" t="s">
        <v>35</v>
      </c>
      <c r="L454" s="156"/>
      <c r="M454" s="151"/>
      <c r="N454" s="151"/>
      <c r="O454" s="151"/>
      <c r="P454" s="151"/>
      <c r="Q454" s="151"/>
    </row>
    <row r="455" spans="1:17" ht="14.25" customHeight="1">
      <c r="A455" s="34">
        <v>779</v>
      </c>
      <c r="B455" s="34">
        <v>1072</v>
      </c>
      <c r="C455" s="34" t="s">
        <v>403</v>
      </c>
      <c r="D455" s="75">
        <v>45595</v>
      </c>
      <c r="E455" s="34" t="s">
        <v>25</v>
      </c>
      <c r="F455" s="34" t="s">
        <v>325</v>
      </c>
      <c r="G455" s="34" t="s">
        <v>404</v>
      </c>
      <c r="H455" s="37" t="s">
        <v>405</v>
      </c>
      <c r="I455" s="37" t="s">
        <v>406</v>
      </c>
      <c r="J455" s="47" t="s">
        <v>34</v>
      </c>
      <c r="K455" s="34" t="s">
        <v>35</v>
      </c>
      <c r="L455" s="156"/>
      <c r="M455" s="151"/>
      <c r="N455" s="151"/>
      <c r="O455" s="151"/>
      <c r="P455" s="151"/>
      <c r="Q455" s="151"/>
    </row>
    <row r="456" spans="1:17" ht="14.25" customHeight="1">
      <c r="A456" s="34">
        <v>778</v>
      </c>
      <c r="B456" s="88">
        <v>1071</v>
      </c>
      <c r="C456" s="34" t="s">
        <v>259</v>
      </c>
      <c r="D456" s="75">
        <v>45595</v>
      </c>
      <c r="E456" s="34" t="s">
        <v>25</v>
      </c>
      <c r="F456" s="88" t="s">
        <v>260</v>
      </c>
      <c r="G456" s="34" t="s">
        <v>261</v>
      </c>
      <c r="H456" s="34" t="s">
        <v>407</v>
      </c>
      <c r="I456" s="34"/>
      <c r="J456" s="85" t="s">
        <v>34</v>
      </c>
      <c r="K456" s="34" t="s">
        <v>35</v>
      </c>
      <c r="L456" s="156"/>
      <c r="M456" s="151"/>
      <c r="N456" s="151"/>
      <c r="O456" s="151"/>
      <c r="P456" s="151"/>
      <c r="Q456" s="151"/>
    </row>
    <row r="457" spans="1:17" ht="14.25" customHeight="1">
      <c r="A457" s="89">
        <v>777</v>
      </c>
      <c r="B457" s="34">
        <v>1075</v>
      </c>
      <c r="C457" s="79" t="s">
        <v>408</v>
      </c>
      <c r="D457" s="75">
        <v>45594</v>
      </c>
      <c r="E457" s="89" t="s">
        <v>409</v>
      </c>
      <c r="F457" s="34" t="s">
        <v>410</v>
      </c>
      <c r="G457" s="79" t="s">
        <v>197</v>
      </c>
      <c r="H457" s="34" t="s">
        <v>411</v>
      </c>
      <c r="I457" s="34" t="s">
        <v>412</v>
      </c>
      <c r="J457" s="47" t="s">
        <v>34</v>
      </c>
      <c r="K457" s="34" t="s">
        <v>35</v>
      </c>
      <c r="L457" s="156"/>
      <c r="M457" s="151"/>
      <c r="N457" s="151"/>
      <c r="O457" s="151"/>
      <c r="P457" s="151"/>
      <c r="Q457" s="151"/>
    </row>
    <row r="458" spans="1:17" ht="14.25" customHeight="1">
      <c r="A458" s="89" t="s">
        <v>413</v>
      </c>
      <c r="B458" s="90">
        <v>1076</v>
      </c>
      <c r="C458" s="79" t="s">
        <v>269</v>
      </c>
      <c r="D458" s="75">
        <v>45594</v>
      </c>
      <c r="E458" s="89" t="s">
        <v>25</v>
      </c>
      <c r="F458" s="91" t="s">
        <v>414</v>
      </c>
      <c r="G458" s="79" t="s">
        <v>415</v>
      </c>
      <c r="H458" s="37" t="s">
        <v>416</v>
      </c>
      <c r="I458" s="34" t="s">
        <v>267</v>
      </c>
      <c r="J458" s="47" t="s">
        <v>34</v>
      </c>
      <c r="K458" s="34" t="s">
        <v>35</v>
      </c>
      <c r="L458" s="156"/>
      <c r="M458" s="151"/>
      <c r="N458" s="151"/>
      <c r="O458" s="151"/>
      <c r="P458" s="151"/>
      <c r="Q458" s="151"/>
    </row>
    <row r="459" spans="1:17" ht="14.25" customHeight="1">
      <c r="A459" s="89" t="s">
        <v>417</v>
      </c>
      <c r="B459" s="92">
        <v>1073</v>
      </c>
      <c r="C459" s="79" t="s">
        <v>269</v>
      </c>
      <c r="D459" s="75">
        <v>45594</v>
      </c>
      <c r="E459" s="89" t="s">
        <v>25</v>
      </c>
      <c r="F459" s="34" t="s">
        <v>418</v>
      </c>
      <c r="G459" s="79" t="s">
        <v>419</v>
      </c>
      <c r="H459" s="37" t="s">
        <v>420</v>
      </c>
      <c r="I459" s="34" t="s">
        <v>267</v>
      </c>
      <c r="J459" s="47" t="s">
        <v>34</v>
      </c>
      <c r="K459" s="34" t="s">
        <v>35</v>
      </c>
      <c r="L459" s="156"/>
      <c r="M459" s="151"/>
      <c r="N459" s="151"/>
      <c r="O459" s="151"/>
      <c r="P459" s="151"/>
      <c r="Q459" s="151"/>
    </row>
    <row r="460" spans="1:17" ht="14.25" customHeight="1">
      <c r="A460" s="89" t="s">
        <v>421</v>
      </c>
      <c r="B460" s="90">
        <v>1074</v>
      </c>
      <c r="C460" s="79" t="s">
        <v>269</v>
      </c>
      <c r="D460" s="75">
        <v>45594</v>
      </c>
      <c r="E460" s="89" t="s">
        <v>19</v>
      </c>
      <c r="F460" s="91" t="s">
        <v>422</v>
      </c>
      <c r="G460" s="79" t="s">
        <v>423</v>
      </c>
      <c r="H460" s="37" t="s">
        <v>424</v>
      </c>
      <c r="I460" s="34" t="s">
        <v>267</v>
      </c>
      <c r="J460" s="47" t="s">
        <v>34</v>
      </c>
      <c r="K460" s="34" t="s">
        <v>35</v>
      </c>
      <c r="L460" s="156"/>
      <c r="M460" s="151"/>
      <c r="N460" s="151"/>
      <c r="O460" s="151"/>
      <c r="P460" s="151"/>
      <c r="Q460" s="151"/>
    </row>
    <row r="461" spans="1:17" ht="14.25" customHeight="1">
      <c r="A461" s="89" t="s">
        <v>425</v>
      </c>
      <c r="B461" s="90">
        <v>1069</v>
      </c>
      <c r="C461" s="79" t="s">
        <v>269</v>
      </c>
      <c r="D461" s="75">
        <v>45594</v>
      </c>
      <c r="E461" s="89" t="s">
        <v>19</v>
      </c>
      <c r="F461" s="88" t="s">
        <v>123</v>
      </c>
      <c r="G461" s="79" t="s">
        <v>426</v>
      </c>
      <c r="H461" s="37" t="s">
        <v>427</v>
      </c>
      <c r="I461" s="34" t="s">
        <v>187</v>
      </c>
      <c r="J461" s="47" t="s">
        <v>34</v>
      </c>
      <c r="K461" s="34" t="s">
        <v>35</v>
      </c>
      <c r="L461" s="156"/>
      <c r="M461" s="151"/>
      <c r="N461" s="151"/>
      <c r="O461" s="151"/>
      <c r="P461" s="151"/>
      <c r="Q461" s="151"/>
    </row>
    <row r="462" spans="1:17" ht="14.25" customHeight="1">
      <c r="A462" s="89" t="s">
        <v>428</v>
      </c>
      <c r="B462" s="90">
        <v>1067</v>
      </c>
      <c r="C462" s="79" t="s">
        <v>269</v>
      </c>
      <c r="D462" s="75">
        <v>45594</v>
      </c>
      <c r="E462" s="89" t="s">
        <v>19</v>
      </c>
      <c r="F462" s="88" t="s">
        <v>123</v>
      </c>
      <c r="G462" s="79" t="s">
        <v>429</v>
      </c>
      <c r="H462" s="37" t="s">
        <v>430</v>
      </c>
      <c r="I462" s="37" t="s">
        <v>431</v>
      </c>
      <c r="J462" s="47" t="s">
        <v>34</v>
      </c>
      <c r="K462" s="34" t="s">
        <v>35</v>
      </c>
      <c r="L462" s="156"/>
      <c r="M462" s="151"/>
      <c r="N462" s="151"/>
      <c r="O462" s="151"/>
      <c r="P462" s="151"/>
      <c r="Q462" s="151"/>
    </row>
    <row r="463" spans="1:17" ht="14.25" customHeight="1">
      <c r="A463" s="89" t="s">
        <v>432</v>
      </c>
      <c r="B463" s="93">
        <v>1068</v>
      </c>
      <c r="C463" s="79" t="s">
        <v>269</v>
      </c>
      <c r="D463" s="75">
        <v>45594</v>
      </c>
      <c r="E463" s="89" t="s">
        <v>19</v>
      </c>
      <c r="F463" s="34" t="s">
        <v>169</v>
      </c>
      <c r="G463" s="79" t="s">
        <v>433</v>
      </c>
      <c r="H463" s="37" t="s">
        <v>434</v>
      </c>
      <c r="I463" s="37" t="s">
        <v>435</v>
      </c>
      <c r="J463" s="47" t="s">
        <v>34</v>
      </c>
      <c r="K463" s="34" t="s">
        <v>35</v>
      </c>
      <c r="L463" s="156"/>
      <c r="M463" s="151"/>
      <c r="N463" s="151"/>
      <c r="O463" s="151"/>
      <c r="P463" s="151"/>
      <c r="Q463" s="151"/>
    </row>
    <row r="464" spans="1:17" ht="14.25" customHeight="1">
      <c r="A464" s="94" t="s">
        <v>436</v>
      </c>
      <c r="B464" s="95" t="s">
        <v>437</v>
      </c>
      <c r="C464" s="79" t="s">
        <v>24</v>
      </c>
      <c r="D464" s="75">
        <v>45594</v>
      </c>
      <c r="E464" s="34" t="s">
        <v>315</v>
      </c>
      <c r="F464" s="96" t="s">
        <v>246</v>
      </c>
      <c r="G464" s="37" t="s">
        <v>438</v>
      </c>
      <c r="H464" s="34" t="s">
        <v>224</v>
      </c>
      <c r="I464" s="34" t="s">
        <v>439</v>
      </c>
      <c r="J464" s="47" t="s">
        <v>34</v>
      </c>
      <c r="K464" s="34" t="s">
        <v>142</v>
      </c>
      <c r="L464" s="156"/>
      <c r="M464" s="151"/>
      <c r="N464" s="151"/>
      <c r="O464" s="151"/>
      <c r="P464" s="151"/>
      <c r="Q464" s="151"/>
    </row>
    <row r="465" spans="1:17" ht="14.25" customHeight="1">
      <c r="A465" s="89" t="s">
        <v>440</v>
      </c>
      <c r="B465" s="93">
        <v>1070</v>
      </c>
      <c r="C465" s="79" t="s">
        <v>24</v>
      </c>
      <c r="D465" s="75">
        <v>45594</v>
      </c>
      <c r="E465" s="34" t="s">
        <v>19</v>
      </c>
      <c r="F465" s="34" t="s">
        <v>242</v>
      </c>
      <c r="G465" s="34" t="s">
        <v>441</v>
      </c>
      <c r="H465" s="34" t="s">
        <v>442</v>
      </c>
      <c r="I465" s="34" t="s">
        <v>267</v>
      </c>
      <c r="J465" s="47" t="s">
        <v>34</v>
      </c>
      <c r="K465" s="34" t="s">
        <v>35</v>
      </c>
      <c r="L465" s="156"/>
      <c r="M465" s="151"/>
      <c r="N465" s="151"/>
      <c r="O465" s="151"/>
      <c r="P465" s="151"/>
      <c r="Q465" s="151"/>
    </row>
    <row r="466" spans="1:17" ht="14.25" customHeight="1">
      <c r="A466" s="89">
        <v>773</v>
      </c>
      <c r="B466" s="34">
        <v>1066</v>
      </c>
      <c r="C466" s="79" t="s">
        <v>443</v>
      </c>
      <c r="D466" s="75">
        <v>45593</v>
      </c>
      <c r="E466" s="34" t="s">
        <v>315</v>
      </c>
      <c r="F466" s="34" t="s">
        <v>444</v>
      </c>
      <c r="G466" s="37" t="s">
        <v>445</v>
      </c>
      <c r="H466" s="37" t="s">
        <v>446</v>
      </c>
      <c r="I466" s="34" t="s">
        <v>311</v>
      </c>
      <c r="J466" s="73" t="s">
        <v>34</v>
      </c>
      <c r="K466" s="34" t="s">
        <v>820</v>
      </c>
      <c r="L466" s="156"/>
      <c r="M466" s="151"/>
      <c r="N466" s="151"/>
      <c r="O466" s="151"/>
      <c r="P466" s="151"/>
      <c r="Q466" s="151"/>
    </row>
    <row r="467" spans="1:17" ht="14.25" customHeight="1">
      <c r="A467" s="34">
        <v>771</v>
      </c>
      <c r="B467" s="97" t="s">
        <v>437</v>
      </c>
      <c r="C467" s="34" t="s">
        <v>447</v>
      </c>
      <c r="D467" s="75">
        <v>45590</v>
      </c>
      <c r="E467" s="34" t="s">
        <v>25</v>
      </c>
      <c r="F467" s="34" t="s">
        <v>448</v>
      </c>
      <c r="G467" s="91" t="s">
        <v>197</v>
      </c>
      <c r="H467" s="37" t="s">
        <v>449</v>
      </c>
      <c r="I467" s="34" t="s">
        <v>141</v>
      </c>
      <c r="J467" s="47" t="s">
        <v>34</v>
      </c>
      <c r="K467" s="34" t="s">
        <v>35</v>
      </c>
      <c r="L467" s="156"/>
      <c r="M467" s="151"/>
      <c r="N467" s="151"/>
      <c r="O467" s="151"/>
      <c r="P467" s="151"/>
      <c r="Q467" s="151"/>
    </row>
    <row r="468" spans="1:17" ht="14.25" customHeight="1">
      <c r="A468" s="34">
        <v>772</v>
      </c>
      <c r="B468" s="34">
        <v>1065</v>
      </c>
      <c r="C468" s="34" t="s">
        <v>450</v>
      </c>
      <c r="D468" s="75">
        <v>45591</v>
      </c>
      <c r="E468" s="34" t="s">
        <v>25</v>
      </c>
      <c r="F468" s="34" t="s">
        <v>451</v>
      </c>
      <c r="G468" s="34" t="s">
        <v>452</v>
      </c>
      <c r="H468" s="37" t="s">
        <v>453</v>
      </c>
      <c r="I468" s="34" t="s">
        <v>454</v>
      </c>
      <c r="J468" s="47" t="s">
        <v>34</v>
      </c>
      <c r="K468" s="34" t="s">
        <v>297</v>
      </c>
      <c r="L468" s="156"/>
      <c r="M468" s="151"/>
      <c r="N468" s="151"/>
      <c r="O468" s="151"/>
      <c r="P468" s="151"/>
      <c r="Q468" s="151"/>
    </row>
    <row r="469" spans="1:17" ht="14.25" customHeight="1">
      <c r="A469" s="34">
        <v>770</v>
      </c>
      <c r="B469" s="34">
        <v>1064</v>
      </c>
      <c r="C469" s="75" t="s">
        <v>455</v>
      </c>
      <c r="D469" s="75">
        <v>45589</v>
      </c>
      <c r="E469" s="34" t="s">
        <v>25</v>
      </c>
      <c r="F469" s="75" t="s">
        <v>251</v>
      </c>
      <c r="G469" s="75" t="s">
        <v>456</v>
      </c>
      <c r="H469" s="35" t="s">
        <v>457</v>
      </c>
      <c r="I469" s="35" t="s">
        <v>458</v>
      </c>
      <c r="J469" s="47" t="s">
        <v>34</v>
      </c>
      <c r="K469" s="34" t="s">
        <v>297</v>
      </c>
      <c r="L469" s="156"/>
      <c r="M469" s="151"/>
      <c r="N469" s="151"/>
      <c r="O469" s="151"/>
      <c r="P469" s="151"/>
      <c r="Q469" s="151"/>
    </row>
    <row r="470" spans="1:17" ht="14.25" customHeight="1">
      <c r="A470" s="34" t="s">
        <v>459</v>
      </c>
      <c r="B470" s="34">
        <v>955</v>
      </c>
      <c r="C470" s="75" t="s">
        <v>269</v>
      </c>
      <c r="D470" s="75">
        <v>45386</v>
      </c>
      <c r="E470" s="34" t="s">
        <v>19</v>
      </c>
      <c r="F470" s="75" t="s">
        <v>169</v>
      </c>
      <c r="G470" s="34" t="s">
        <v>460</v>
      </c>
      <c r="H470" s="34" t="s">
        <v>160</v>
      </c>
      <c r="I470" s="34"/>
      <c r="J470" s="47" t="s">
        <v>34</v>
      </c>
      <c r="K470" s="34" t="s">
        <v>35</v>
      </c>
      <c r="L470" s="156"/>
      <c r="M470" s="151"/>
      <c r="N470" s="151"/>
      <c r="O470" s="151"/>
      <c r="P470" s="151"/>
      <c r="Q470" s="151"/>
    </row>
    <row r="471" spans="1:17" ht="14.25" customHeight="1">
      <c r="A471" s="34" t="s">
        <v>461</v>
      </c>
      <c r="B471" s="34">
        <v>948</v>
      </c>
      <c r="C471" s="75" t="s">
        <v>269</v>
      </c>
      <c r="D471" s="75">
        <v>45386</v>
      </c>
      <c r="E471" s="34" t="s">
        <v>19</v>
      </c>
      <c r="F471" s="75" t="s">
        <v>123</v>
      </c>
      <c r="G471" s="34" t="s">
        <v>462</v>
      </c>
      <c r="H471" s="34" t="s">
        <v>160</v>
      </c>
      <c r="I471" s="34"/>
      <c r="J471" s="47" t="s">
        <v>34</v>
      </c>
      <c r="K471" s="34" t="s">
        <v>35</v>
      </c>
      <c r="L471" s="156"/>
      <c r="M471" s="151"/>
      <c r="N471" s="151"/>
      <c r="O471" s="151"/>
      <c r="P471" s="151"/>
      <c r="Q471" s="151"/>
    </row>
    <row r="472" spans="1:17" ht="14.25" customHeight="1">
      <c r="A472" s="34" t="s">
        <v>268</v>
      </c>
      <c r="B472" s="34">
        <v>951</v>
      </c>
      <c r="C472" s="75" t="s">
        <v>269</v>
      </c>
      <c r="D472" s="75">
        <v>45386</v>
      </c>
      <c r="E472" s="34" t="s">
        <v>19</v>
      </c>
      <c r="F472" s="75" t="s">
        <v>463</v>
      </c>
      <c r="G472" s="34" t="s">
        <v>464</v>
      </c>
      <c r="H472" s="34" t="s">
        <v>160</v>
      </c>
      <c r="I472" s="34"/>
      <c r="J472" s="47" t="s">
        <v>34</v>
      </c>
      <c r="K472" s="34" t="s">
        <v>35</v>
      </c>
      <c r="L472" s="156"/>
      <c r="M472" s="151"/>
      <c r="N472" s="151"/>
      <c r="O472" s="151"/>
      <c r="P472" s="151"/>
      <c r="Q472" s="151"/>
    </row>
    <row r="473" spans="1:17" ht="14.25" customHeight="1">
      <c r="A473" s="34">
        <v>769</v>
      </c>
      <c r="B473" s="34">
        <v>1063</v>
      </c>
      <c r="C473" s="75" t="s">
        <v>465</v>
      </c>
      <c r="D473" s="75">
        <v>45588</v>
      </c>
      <c r="E473" s="75" t="s">
        <v>315</v>
      </c>
      <c r="F473" s="75" t="s">
        <v>256</v>
      </c>
      <c r="G473" s="75" t="s">
        <v>466</v>
      </c>
      <c r="H473" s="75" t="s">
        <v>151</v>
      </c>
      <c r="I473" s="75" t="s">
        <v>467</v>
      </c>
      <c r="J473" s="47" t="s">
        <v>34</v>
      </c>
      <c r="K473" s="34" t="s">
        <v>35</v>
      </c>
      <c r="L473" s="156"/>
      <c r="M473" s="151"/>
      <c r="N473" s="151"/>
      <c r="O473" s="151"/>
      <c r="P473" s="151"/>
      <c r="Q473" s="151"/>
    </row>
    <row r="474" spans="1:17" ht="14.25" customHeight="1">
      <c r="A474" s="34">
        <v>768</v>
      </c>
      <c r="B474" s="34">
        <v>1062</v>
      </c>
      <c r="C474" s="75" t="s">
        <v>24</v>
      </c>
      <c r="D474" s="75">
        <v>45587</v>
      </c>
      <c r="E474" s="75" t="s">
        <v>468</v>
      </c>
      <c r="F474" s="75" t="s">
        <v>469</v>
      </c>
      <c r="G474" s="75" t="s">
        <v>470</v>
      </c>
      <c r="H474" s="75" t="s">
        <v>471</v>
      </c>
      <c r="I474" s="35" t="s">
        <v>472</v>
      </c>
      <c r="J474" s="98" t="s">
        <v>34</v>
      </c>
      <c r="K474" s="34" t="s">
        <v>35</v>
      </c>
      <c r="L474" s="156"/>
      <c r="M474" s="151"/>
      <c r="N474" s="151"/>
      <c r="O474" s="151"/>
      <c r="P474" s="151"/>
      <c r="Q474" s="151"/>
    </row>
    <row r="475" spans="1:17" ht="14.25" customHeight="1">
      <c r="A475" s="34">
        <v>767</v>
      </c>
      <c r="B475" s="34">
        <v>1059</v>
      </c>
      <c r="C475" s="99" t="s">
        <v>473</v>
      </c>
      <c r="D475" s="75">
        <v>45586</v>
      </c>
      <c r="E475" s="88" t="s">
        <v>474</v>
      </c>
      <c r="F475" s="88" t="s">
        <v>475</v>
      </c>
      <c r="G475" s="88" t="s">
        <v>476</v>
      </c>
      <c r="H475" s="99" t="s">
        <v>477</v>
      </c>
      <c r="I475" s="88" t="s">
        <v>101</v>
      </c>
      <c r="J475" s="98" t="s">
        <v>34</v>
      </c>
      <c r="K475" s="34" t="s">
        <v>297</v>
      </c>
      <c r="L475" s="156"/>
      <c r="M475" s="151"/>
      <c r="N475" s="151"/>
      <c r="O475" s="151"/>
      <c r="P475" s="151"/>
      <c r="Q475" s="151"/>
    </row>
    <row r="476" spans="1:17" ht="14.25" customHeight="1">
      <c r="A476" s="34">
        <v>766</v>
      </c>
      <c r="B476" s="37">
        <v>1060</v>
      </c>
      <c r="C476" s="34" t="s">
        <v>28</v>
      </c>
      <c r="D476" s="75">
        <v>45586</v>
      </c>
      <c r="E476" s="34" t="s">
        <v>478</v>
      </c>
      <c r="F476" s="34" t="s">
        <v>479</v>
      </c>
      <c r="G476" s="34" t="s">
        <v>480</v>
      </c>
      <c r="H476" s="37" t="s">
        <v>481</v>
      </c>
      <c r="I476" s="37" t="s">
        <v>482</v>
      </c>
      <c r="J476" s="47" t="s">
        <v>34</v>
      </c>
      <c r="K476" s="34" t="s">
        <v>35</v>
      </c>
      <c r="L476" s="156"/>
      <c r="M476" s="151"/>
      <c r="N476" s="151"/>
      <c r="O476" s="151"/>
      <c r="P476" s="151"/>
      <c r="Q476" s="151"/>
    </row>
    <row r="477" spans="1:17" ht="14.25" customHeight="1">
      <c r="A477" s="34">
        <v>765</v>
      </c>
      <c r="B477" s="37" t="s">
        <v>437</v>
      </c>
      <c r="C477" s="88" t="s">
        <v>483</v>
      </c>
      <c r="D477" s="75">
        <v>45583</v>
      </c>
      <c r="E477" s="88" t="s">
        <v>29</v>
      </c>
      <c r="F477" s="88" t="s">
        <v>484</v>
      </c>
      <c r="G477" s="88" t="s">
        <v>31</v>
      </c>
      <c r="H477" s="88" t="s">
        <v>485</v>
      </c>
      <c r="I477" s="88" t="s">
        <v>486</v>
      </c>
      <c r="J477" s="98" t="s">
        <v>34</v>
      </c>
      <c r="K477" s="34" t="s">
        <v>35</v>
      </c>
      <c r="L477" s="156"/>
      <c r="M477" s="151"/>
      <c r="N477" s="151"/>
      <c r="O477" s="151"/>
      <c r="P477" s="151"/>
      <c r="Q477" s="151"/>
    </row>
    <row r="478" spans="1:17" ht="14.25" customHeight="1">
      <c r="A478" s="89">
        <v>764</v>
      </c>
      <c r="B478" s="34">
        <v>1057</v>
      </c>
      <c r="C478" s="36" t="s">
        <v>487</v>
      </c>
      <c r="D478" s="75">
        <v>45582</v>
      </c>
      <c r="E478" s="34" t="s">
        <v>488</v>
      </c>
      <c r="F478" s="34" t="s">
        <v>489</v>
      </c>
      <c r="G478" s="34" t="s">
        <v>197</v>
      </c>
      <c r="H478" s="34" t="s">
        <v>490</v>
      </c>
      <c r="I478" s="34" t="s">
        <v>491</v>
      </c>
      <c r="J478" s="47" t="s">
        <v>34</v>
      </c>
      <c r="K478" s="34" t="s">
        <v>35</v>
      </c>
      <c r="L478" s="156"/>
      <c r="M478" s="151"/>
      <c r="N478" s="151"/>
      <c r="O478" s="151"/>
      <c r="P478" s="151"/>
      <c r="Q478" s="151"/>
    </row>
    <row r="479" spans="1:17" ht="14.25" customHeight="1">
      <c r="A479" s="89">
        <v>763</v>
      </c>
      <c r="B479" s="34">
        <v>1058</v>
      </c>
      <c r="C479" s="36" t="s">
        <v>492</v>
      </c>
      <c r="D479" s="75">
        <v>45582</v>
      </c>
      <c r="E479" s="36" t="s">
        <v>19</v>
      </c>
      <c r="F479" s="36" t="s">
        <v>493</v>
      </c>
      <c r="G479" s="36" t="s">
        <v>197</v>
      </c>
      <c r="H479" s="36" t="s">
        <v>160</v>
      </c>
      <c r="I479" s="36" t="s">
        <v>494</v>
      </c>
      <c r="J479" s="100" t="s">
        <v>50</v>
      </c>
      <c r="K479" s="34" t="s">
        <v>51</v>
      </c>
      <c r="L479" s="156"/>
      <c r="M479" s="151"/>
      <c r="N479" s="151"/>
      <c r="O479" s="151"/>
      <c r="P479" s="151"/>
      <c r="Q479" s="151"/>
    </row>
    <row r="480" spans="1:17" ht="14.25" customHeight="1">
      <c r="A480" s="34" t="s">
        <v>495</v>
      </c>
      <c r="B480" s="96">
        <v>1054</v>
      </c>
      <c r="C480" s="101" t="s">
        <v>496</v>
      </c>
      <c r="D480" s="75">
        <v>45581</v>
      </c>
      <c r="E480" s="101" t="s">
        <v>25</v>
      </c>
      <c r="F480" s="101" t="s">
        <v>227</v>
      </c>
      <c r="G480" s="101" t="s">
        <v>497</v>
      </c>
      <c r="H480" s="101" t="s">
        <v>160</v>
      </c>
      <c r="I480" s="101" t="s">
        <v>498</v>
      </c>
      <c r="J480" s="102" t="s">
        <v>34</v>
      </c>
      <c r="K480" s="34" t="s">
        <v>35</v>
      </c>
      <c r="L480" s="156"/>
      <c r="M480" s="151"/>
      <c r="N480" s="151"/>
      <c r="O480" s="151"/>
      <c r="P480" s="151"/>
      <c r="Q480" s="151"/>
    </row>
    <row r="481" spans="1:17" ht="14.25" customHeight="1">
      <c r="A481" s="34" t="s">
        <v>499</v>
      </c>
      <c r="B481" s="34">
        <v>1061</v>
      </c>
      <c r="C481" s="36" t="s">
        <v>496</v>
      </c>
      <c r="D481" s="75">
        <v>45581</v>
      </c>
      <c r="E481" s="36" t="s">
        <v>25</v>
      </c>
      <c r="F481" s="36" t="s">
        <v>149</v>
      </c>
      <c r="G481" s="36" t="s">
        <v>500</v>
      </c>
      <c r="H481" s="36" t="s">
        <v>160</v>
      </c>
      <c r="I481" s="36" t="s">
        <v>501</v>
      </c>
      <c r="J481" s="102" t="s">
        <v>34</v>
      </c>
      <c r="K481" s="34" t="s">
        <v>35</v>
      </c>
      <c r="L481" s="156"/>
      <c r="M481" s="151"/>
      <c r="N481" s="151"/>
      <c r="O481" s="151"/>
      <c r="P481" s="151"/>
      <c r="Q481" s="151"/>
    </row>
    <row r="482" spans="1:17" ht="14.25" customHeight="1">
      <c r="A482" s="34" t="s">
        <v>502</v>
      </c>
      <c r="B482" s="34">
        <v>1053</v>
      </c>
      <c r="C482" s="36" t="s">
        <v>503</v>
      </c>
      <c r="D482" s="75">
        <v>45581</v>
      </c>
      <c r="E482" s="36" t="s">
        <v>88</v>
      </c>
      <c r="F482" s="36" t="s">
        <v>504</v>
      </c>
      <c r="G482" s="36" t="s">
        <v>505</v>
      </c>
      <c r="H482" s="36" t="s">
        <v>490</v>
      </c>
      <c r="I482" s="37" t="s">
        <v>506</v>
      </c>
      <c r="J482" s="47" t="s">
        <v>34</v>
      </c>
      <c r="K482" s="34" t="s">
        <v>35</v>
      </c>
      <c r="L482" s="156"/>
      <c r="M482" s="151"/>
      <c r="N482" s="151"/>
      <c r="O482" s="151"/>
      <c r="P482" s="151"/>
      <c r="Q482" s="151"/>
    </row>
    <row r="483" spans="1:17" ht="14.25" customHeight="1">
      <c r="A483" s="34" t="s">
        <v>507</v>
      </c>
      <c r="B483" s="34">
        <v>1055</v>
      </c>
      <c r="C483" s="36" t="s">
        <v>503</v>
      </c>
      <c r="D483" s="75">
        <v>45581</v>
      </c>
      <c r="E483" s="36" t="s">
        <v>88</v>
      </c>
      <c r="F483" s="36" t="s">
        <v>504</v>
      </c>
      <c r="G483" s="36" t="s">
        <v>508</v>
      </c>
      <c r="H483" s="36" t="s">
        <v>490</v>
      </c>
      <c r="I483" s="37" t="s">
        <v>509</v>
      </c>
      <c r="J483" s="47" t="s">
        <v>34</v>
      </c>
      <c r="K483" s="34" t="s">
        <v>35</v>
      </c>
      <c r="L483" s="156"/>
      <c r="M483" s="151"/>
      <c r="N483" s="151"/>
      <c r="O483" s="151"/>
      <c r="P483" s="151"/>
      <c r="Q483" s="151"/>
    </row>
    <row r="484" spans="1:17" ht="14.25" customHeight="1">
      <c r="A484" s="34">
        <v>760</v>
      </c>
      <c r="B484" s="37" t="s">
        <v>437</v>
      </c>
      <c r="C484" s="34" t="s">
        <v>245</v>
      </c>
      <c r="D484" s="75">
        <v>45580</v>
      </c>
      <c r="E484" s="34" t="s">
        <v>19</v>
      </c>
      <c r="F484" s="34" t="s">
        <v>169</v>
      </c>
      <c r="G484" s="34" t="s">
        <v>510</v>
      </c>
      <c r="H484" s="103" t="s">
        <v>330</v>
      </c>
      <c r="I484" s="34" t="s">
        <v>511</v>
      </c>
      <c r="J484" s="85" t="s">
        <v>34</v>
      </c>
      <c r="K484" s="34" t="s">
        <v>35</v>
      </c>
      <c r="L484" s="156"/>
      <c r="M484" s="151"/>
      <c r="N484" s="151"/>
      <c r="O484" s="151"/>
      <c r="P484" s="151"/>
      <c r="Q484" s="151"/>
    </row>
    <row r="485" spans="1:17" ht="14.25" customHeight="1">
      <c r="A485" s="34">
        <v>759</v>
      </c>
      <c r="B485" s="34">
        <v>1052</v>
      </c>
      <c r="C485" s="34" t="s">
        <v>512</v>
      </c>
      <c r="D485" s="75">
        <v>45580</v>
      </c>
      <c r="E485" s="34" t="s">
        <v>19</v>
      </c>
      <c r="F485" s="34" t="s">
        <v>513</v>
      </c>
      <c r="G485" s="34" t="s">
        <v>197</v>
      </c>
      <c r="H485" s="34" t="s">
        <v>224</v>
      </c>
      <c r="I485" s="34" t="s">
        <v>514</v>
      </c>
      <c r="J485" s="85" t="s">
        <v>34</v>
      </c>
      <c r="K485" s="34" t="s">
        <v>35</v>
      </c>
      <c r="L485" s="156"/>
      <c r="M485" s="151"/>
      <c r="N485" s="151"/>
      <c r="O485" s="151"/>
      <c r="P485" s="151"/>
      <c r="Q485" s="151"/>
    </row>
    <row r="486" spans="1:17" ht="14.25" customHeight="1">
      <c r="A486" s="34" t="s">
        <v>515</v>
      </c>
      <c r="B486" s="34">
        <v>1050</v>
      </c>
      <c r="C486" s="34" t="s">
        <v>516</v>
      </c>
      <c r="D486" s="75">
        <v>45579</v>
      </c>
      <c r="E486" s="34" t="s">
        <v>517</v>
      </c>
      <c r="F486" s="34" t="s">
        <v>518</v>
      </c>
      <c r="G486" s="37" t="s">
        <v>519</v>
      </c>
      <c r="H486" s="37" t="s">
        <v>520</v>
      </c>
      <c r="I486" s="34" t="s">
        <v>521</v>
      </c>
      <c r="J486" s="102" t="s">
        <v>34</v>
      </c>
      <c r="K486" s="34" t="s">
        <v>297</v>
      </c>
      <c r="L486" s="156"/>
      <c r="M486" s="151"/>
      <c r="N486" s="151"/>
      <c r="O486" s="151"/>
      <c r="P486" s="151"/>
      <c r="Q486" s="151"/>
    </row>
    <row r="487" spans="1:17" ht="14.25" customHeight="1">
      <c r="A487" s="34" t="s">
        <v>522</v>
      </c>
      <c r="B487" s="34">
        <v>1049</v>
      </c>
      <c r="C487" s="34" t="s">
        <v>516</v>
      </c>
      <c r="D487" s="75">
        <v>45579</v>
      </c>
      <c r="E487" s="34" t="s">
        <v>25</v>
      </c>
      <c r="F487" s="34" t="s">
        <v>448</v>
      </c>
      <c r="G487" s="37" t="s">
        <v>523</v>
      </c>
      <c r="H487" s="37" t="s">
        <v>520</v>
      </c>
      <c r="I487" s="34" t="s">
        <v>524</v>
      </c>
      <c r="J487" s="85" t="s">
        <v>34</v>
      </c>
      <c r="K487" s="34" t="s">
        <v>35</v>
      </c>
      <c r="L487" s="156"/>
      <c r="M487" s="151"/>
      <c r="N487" s="151"/>
      <c r="O487" s="151"/>
      <c r="P487" s="151"/>
      <c r="Q487" s="151"/>
    </row>
    <row r="488" spans="1:17" ht="14.25" customHeight="1">
      <c r="A488" s="34">
        <v>757</v>
      </c>
      <c r="B488" s="34">
        <v>989</v>
      </c>
      <c r="C488" s="34" t="s">
        <v>447</v>
      </c>
      <c r="D488" s="75">
        <v>45577</v>
      </c>
      <c r="E488" s="34" t="s">
        <v>25</v>
      </c>
      <c r="F488" s="34" t="s">
        <v>448</v>
      </c>
      <c r="G488" s="34" t="s">
        <v>197</v>
      </c>
      <c r="H488" s="36" t="s">
        <v>525</v>
      </c>
      <c r="I488" s="34" t="s">
        <v>141</v>
      </c>
      <c r="J488" s="47" t="s">
        <v>34</v>
      </c>
      <c r="K488" s="34" t="s">
        <v>35</v>
      </c>
      <c r="L488" s="156"/>
      <c r="M488" s="151"/>
      <c r="N488" s="151"/>
      <c r="O488" s="151"/>
      <c r="P488" s="151"/>
      <c r="Q488" s="151"/>
    </row>
    <row r="489" spans="1:17" ht="14.25" customHeight="1">
      <c r="A489" s="34" t="s">
        <v>526</v>
      </c>
      <c r="B489" s="34">
        <v>899</v>
      </c>
      <c r="C489" s="34" t="s">
        <v>527</v>
      </c>
      <c r="D489" s="75">
        <v>45444</v>
      </c>
      <c r="E489" s="34" t="s">
        <v>88</v>
      </c>
      <c r="F489" s="34" t="s">
        <v>528</v>
      </c>
      <c r="G489" s="34" t="s">
        <v>529</v>
      </c>
      <c r="H489" s="34" t="s">
        <v>160</v>
      </c>
      <c r="I489" s="34" t="s">
        <v>311</v>
      </c>
      <c r="J489" s="47" t="s">
        <v>34</v>
      </c>
      <c r="K489" s="34" t="s">
        <v>297</v>
      </c>
      <c r="L489" s="156"/>
      <c r="M489" s="151"/>
      <c r="N489" s="151"/>
      <c r="O489" s="151"/>
      <c r="P489" s="151"/>
      <c r="Q489" s="151"/>
    </row>
    <row r="490" spans="1:17" ht="14.25" customHeight="1">
      <c r="A490" s="34" t="s">
        <v>530</v>
      </c>
      <c r="B490" s="34">
        <v>1051</v>
      </c>
      <c r="C490" s="104" t="s">
        <v>531</v>
      </c>
      <c r="D490" s="75">
        <v>45478</v>
      </c>
      <c r="E490" s="104" t="s">
        <v>42</v>
      </c>
      <c r="F490" s="104" t="s">
        <v>532</v>
      </c>
      <c r="G490" s="34">
        <v>6102150</v>
      </c>
      <c r="H490" s="36" t="s">
        <v>533</v>
      </c>
      <c r="I490" s="34" t="s">
        <v>534</v>
      </c>
      <c r="J490" s="85" t="s">
        <v>34</v>
      </c>
      <c r="K490" s="34" t="s">
        <v>35</v>
      </c>
      <c r="L490" s="156"/>
      <c r="M490" s="151"/>
      <c r="N490" s="151"/>
      <c r="O490" s="151"/>
      <c r="P490" s="151"/>
      <c r="Q490" s="151"/>
    </row>
    <row r="491" spans="1:17" ht="15" customHeight="1">
      <c r="A491" s="34" t="s">
        <v>535</v>
      </c>
      <c r="B491" s="34">
        <v>1056</v>
      </c>
      <c r="C491" s="34" t="s">
        <v>536</v>
      </c>
      <c r="D491" s="75">
        <v>45576</v>
      </c>
      <c r="E491" s="34" t="s">
        <v>19</v>
      </c>
      <c r="F491" s="34" t="s">
        <v>537</v>
      </c>
      <c r="G491" s="34" t="s">
        <v>538</v>
      </c>
      <c r="H491" s="34" t="s">
        <v>539</v>
      </c>
      <c r="I491" s="34" t="s">
        <v>540</v>
      </c>
      <c r="J491" s="105" t="s">
        <v>34</v>
      </c>
      <c r="K491" s="34" t="s">
        <v>142</v>
      </c>
      <c r="L491" s="156"/>
      <c r="M491" s="151"/>
      <c r="N491" s="151"/>
      <c r="O491" s="151"/>
      <c r="P491" s="151"/>
      <c r="Q491" s="151"/>
    </row>
    <row r="492" spans="1:17" ht="14.25" customHeight="1">
      <c r="A492" s="34" t="s">
        <v>541</v>
      </c>
      <c r="B492" s="34">
        <v>1048</v>
      </c>
      <c r="C492" s="34" t="s">
        <v>536</v>
      </c>
      <c r="D492" s="75">
        <v>45576</v>
      </c>
      <c r="E492" s="34" t="s">
        <v>19</v>
      </c>
      <c r="F492" s="34" t="s">
        <v>123</v>
      </c>
      <c r="G492" s="34" t="s">
        <v>542</v>
      </c>
      <c r="H492" s="34" t="s">
        <v>543</v>
      </c>
      <c r="I492" s="37" t="s">
        <v>544</v>
      </c>
      <c r="J492" s="85" t="s">
        <v>34</v>
      </c>
      <c r="K492" s="34" t="s">
        <v>35</v>
      </c>
      <c r="L492" s="156"/>
      <c r="M492" s="151"/>
      <c r="N492" s="151"/>
      <c r="O492" s="151"/>
      <c r="P492" s="151"/>
      <c r="Q492" s="151"/>
    </row>
    <row r="493" spans="1:17" ht="14.25" customHeight="1">
      <c r="A493" s="34">
        <v>755</v>
      </c>
      <c r="B493" s="34">
        <v>1046</v>
      </c>
      <c r="C493" s="34" t="s">
        <v>545</v>
      </c>
      <c r="D493" s="75">
        <v>45575</v>
      </c>
      <c r="E493" s="34" t="s">
        <v>25</v>
      </c>
      <c r="F493" s="34" t="s">
        <v>546</v>
      </c>
      <c r="G493" s="34" t="s">
        <v>547</v>
      </c>
      <c r="H493" s="36" t="s">
        <v>548</v>
      </c>
      <c r="I493" s="34" t="s">
        <v>549</v>
      </c>
      <c r="J493" s="85" t="s">
        <v>34</v>
      </c>
      <c r="K493" s="34" t="s">
        <v>297</v>
      </c>
      <c r="L493" s="156"/>
      <c r="M493" s="151"/>
      <c r="N493" s="151"/>
      <c r="O493" s="151"/>
      <c r="P493" s="151"/>
      <c r="Q493" s="151"/>
    </row>
    <row r="494" spans="1:17" ht="14.25" customHeight="1">
      <c r="A494" s="34">
        <v>754</v>
      </c>
      <c r="B494" s="96">
        <v>1045</v>
      </c>
      <c r="C494" s="34" t="s">
        <v>550</v>
      </c>
      <c r="D494" s="75">
        <v>45575</v>
      </c>
      <c r="E494" s="34" t="s">
        <v>25</v>
      </c>
      <c r="F494" s="34" t="s">
        <v>300</v>
      </c>
      <c r="G494" s="34" t="s">
        <v>551</v>
      </c>
      <c r="H494" s="34" t="s">
        <v>151</v>
      </c>
      <c r="I494" s="34" t="s">
        <v>552</v>
      </c>
      <c r="J494" s="85" t="s">
        <v>34</v>
      </c>
      <c r="K494" s="34" t="s">
        <v>35</v>
      </c>
      <c r="L494" s="156"/>
      <c r="M494" s="151"/>
      <c r="N494" s="151"/>
      <c r="O494" s="151"/>
      <c r="P494" s="151"/>
      <c r="Q494" s="151"/>
    </row>
    <row r="495" spans="1:17" ht="14.25" customHeight="1">
      <c r="A495" s="34">
        <v>753</v>
      </c>
      <c r="B495" s="96">
        <v>1047</v>
      </c>
      <c r="C495" s="34" t="s">
        <v>553</v>
      </c>
      <c r="D495" s="75">
        <v>45575</v>
      </c>
      <c r="E495" s="34" t="s">
        <v>25</v>
      </c>
      <c r="F495" s="34" t="s">
        <v>554</v>
      </c>
      <c r="G495" s="34" t="s">
        <v>197</v>
      </c>
      <c r="H495" s="34" t="s">
        <v>555</v>
      </c>
      <c r="I495" s="34" t="s">
        <v>556</v>
      </c>
      <c r="J495" s="85" t="s">
        <v>34</v>
      </c>
      <c r="K495" s="34" t="s">
        <v>35</v>
      </c>
      <c r="L495" s="156"/>
      <c r="M495" s="151"/>
      <c r="N495" s="151"/>
      <c r="O495" s="151"/>
      <c r="P495" s="151"/>
      <c r="Q495" s="151"/>
    </row>
    <row r="496" spans="1:17" ht="14.25" customHeight="1">
      <c r="A496" s="34">
        <v>752</v>
      </c>
      <c r="B496" s="96">
        <v>1044</v>
      </c>
      <c r="C496" s="34" t="s">
        <v>557</v>
      </c>
      <c r="D496" s="75">
        <v>45574</v>
      </c>
      <c r="E496" s="34" t="s">
        <v>25</v>
      </c>
      <c r="F496" s="34" t="s">
        <v>558</v>
      </c>
      <c r="G496" s="34" t="s">
        <v>559</v>
      </c>
      <c r="H496" s="34" t="s">
        <v>560</v>
      </c>
      <c r="I496" s="34" t="s">
        <v>561</v>
      </c>
      <c r="J496" s="85" t="s">
        <v>34</v>
      </c>
      <c r="K496" s="34" t="s">
        <v>35</v>
      </c>
      <c r="L496" s="156"/>
      <c r="M496" s="151"/>
      <c r="N496" s="151"/>
      <c r="O496" s="151"/>
      <c r="P496" s="151"/>
      <c r="Q496" s="151"/>
    </row>
    <row r="497" spans="1:17" ht="14.25" customHeight="1">
      <c r="A497" s="34">
        <v>587</v>
      </c>
      <c r="B497" s="96">
        <v>814</v>
      </c>
      <c r="C497" s="34" t="s">
        <v>562</v>
      </c>
      <c r="D497" s="75">
        <v>45299</v>
      </c>
      <c r="E497" s="34" t="s">
        <v>563</v>
      </c>
      <c r="F497" s="34" t="s">
        <v>1840</v>
      </c>
      <c r="G497" s="34" t="s">
        <v>564</v>
      </c>
      <c r="H497" s="34" t="s">
        <v>101</v>
      </c>
      <c r="I497" s="34" t="s">
        <v>565</v>
      </c>
      <c r="J497" s="85" t="s">
        <v>34</v>
      </c>
      <c r="K497" s="34" t="s">
        <v>35</v>
      </c>
      <c r="L497" s="156"/>
      <c r="M497" s="151"/>
      <c r="N497" s="151"/>
      <c r="O497" s="151"/>
      <c r="P497" s="151"/>
      <c r="Q497" s="151"/>
    </row>
    <row r="498" spans="1:17" ht="14.25" customHeight="1">
      <c r="A498" s="34">
        <v>751</v>
      </c>
      <c r="B498" s="96">
        <v>1043</v>
      </c>
      <c r="C498" s="34" t="s">
        <v>566</v>
      </c>
      <c r="D498" s="75">
        <v>45570</v>
      </c>
      <c r="E498" s="34" t="s">
        <v>25</v>
      </c>
      <c r="F498" s="34" t="s">
        <v>567</v>
      </c>
      <c r="G498" s="34">
        <v>5403299672</v>
      </c>
      <c r="H498" s="34" t="s">
        <v>568</v>
      </c>
      <c r="I498" s="34" t="s">
        <v>569</v>
      </c>
      <c r="J498" s="85" t="s">
        <v>34</v>
      </c>
      <c r="K498" s="34" t="s">
        <v>35</v>
      </c>
      <c r="L498" s="156"/>
      <c r="M498" s="151"/>
      <c r="N498" s="151"/>
      <c r="O498" s="151"/>
      <c r="P498" s="151"/>
      <c r="Q498" s="151"/>
    </row>
    <row r="499" spans="1:17" ht="14.25" customHeight="1">
      <c r="A499" s="34">
        <v>750</v>
      </c>
      <c r="B499" s="96">
        <v>1042</v>
      </c>
      <c r="C499" s="34" t="s">
        <v>570</v>
      </c>
      <c r="D499" s="75">
        <v>45570</v>
      </c>
      <c r="E499" s="34" t="s">
        <v>25</v>
      </c>
      <c r="F499" s="34" t="s">
        <v>571</v>
      </c>
      <c r="G499" s="34" t="s">
        <v>572</v>
      </c>
      <c r="H499" s="34" t="s">
        <v>151</v>
      </c>
      <c r="I499" s="34" t="s">
        <v>101</v>
      </c>
      <c r="J499" s="85" t="s">
        <v>34</v>
      </c>
      <c r="K499" s="34" t="s">
        <v>35</v>
      </c>
      <c r="L499" s="156"/>
      <c r="M499" s="151"/>
      <c r="N499" s="151"/>
      <c r="O499" s="151"/>
      <c r="P499" s="151"/>
      <c r="Q499" s="151"/>
    </row>
    <row r="500" spans="1:17" ht="14.25" customHeight="1">
      <c r="A500" s="34">
        <v>749</v>
      </c>
      <c r="B500" s="96">
        <v>1041</v>
      </c>
      <c r="C500" s="34" t="s">
        <v>545</v>
      </c>
      <c r="D500" s="75">
        <v>45569</v>
      </c>
      <c r="E500" s="96" t="s">
        <v>11</v>
      </c>
      <c r="F500" s="96" t="s">
        <v>12</v>
      </c>
      <c r="G500" s="96" t="s">
        <v>197</v>
      </c>
      <c r="H500" s="101" t="s">
        <v>573</v>
      </c>
      <c r="I500" s="96" t="s">
        <v>574</v>
      </c>
      <c r="J500" s="85" t="s">
        <v>34</v>
      </c>
      <c r="K500" s="34" t="s">
        <v>297</v>
      </c>
      <c r="L500" s="156"/>
      <c r="M500" s="151"/>
      <c r="N500" s="151"/>
      <c r="O500" s="151"/>
      <c r="P500" s="151"/>
      <c r="Q500" s="151"/>
    </row>
    <row r="501" spans="1:17" ht="14.25" customHeight="1">
      <c r="A501" s="96">
        <v>648</v>
      </c>
      <c r="B501" s="96">
        <v>930</v>
      </c>
      <c r="C501" s="96" t="s">
        <v>24</v>
      </c>
      <c r="D501" s="75">
        <v>45454</v>
      </c>
      <c r="E501" s="96" t="s">
        <v>29</v>
      </c>
      <c r="F501" s="96" t="s">
        <v>575</v>
      </c>
      <c r="G501" s="96">
        <v>2114691090</v>
      </c>
      <c r="H501" s="96" t="s">
        <v>101</v>
      </c>
      <c r="I501" s="96" t="s">
        <v>311</v>
      </c>
      <c r="J501" s="85" t="s">
        <v>34</v>
      </c>
      <c r="K501" s="34" t="s">
        <v>35</v>
      </c>
      <c r="L501" s="156"/>
      <c r="M501" s="151"/>
      <c r="N501" s="151"/>
      <c r="O501" s="151"/>
      <c r="P501" s="151"/>
      <c r="Q501" s="151"/>
    </row>
    <row r="502" spans="1:17" ht="14.25" customHeight="1">
      <c r="A502" s="34">
        <v>748</v>
      </c>
      <c r="B502" s="34">
        <v>1038</v>
      </c>
      <c r="C502" s="34" t="s">
        <v>576</v>
      </c>
      <c r="D502" s="75">
        <v>45562</v>
      </c>
      <c r="E502" s="34" t="s">
        <v>25</v>
      </c>
      <c r="F502" s="34" t="s">
        <v>577</v>
      </c>
      <c r="G502" s="34" t="s">
        <v>578</v>
      </c>
      <c r="H502" s="34" t="s">
        <v>579</v>
      </c>
      <c r="I502" s="34" t="s">
        <v>580</v>
      </c>
      <c r="J502" s="85" t="s">
        <v>34</v>
      </c>
      <c r="K502" s="34" t="s">
        <v>35</v>
      </c>
      <c r="L502" s="156"/>
      <c r="M502" s="151"/>
      <c r="N502" s="151"/>
      <c r="O502" s="151"/>
      <c r="P502" s="151"/>
      <c r="Q502" s="151"/>
    </row>
    <row r="503" spans="1:17" ht="14.25" customHeight="1">
      <c r="A503" s="34">
        <v>747</v>
      </c>
      <c r="B503" s="34">
        <v>1039</v>
      </c>
      <c r="C503" s="106" t="s">
        <v>581</v>
      </c>
      <c r="D503" s="75">
        <v>45562</v>
      </c>
      <c r="E503" s="34" t="s">
        <v>582</v>
      </c>
      <c r="F503" s="34" t="s">
        <v>582</v>
      </c>
      <c r="G503" s="34" t="s">
        <v>197</v>
      </c>
      <c r="H503" s="34" t="s">
        <v>583</v>
      </c>
      <c r="I503" s="34" t="s">
        <v>262</v>
      </c>
      <c r="J503" s="85" t="s">
        <v>34</v>
      </c>
      <c r="K503" s="34" t="s">
        <v>35</v>
      </c>
      <c r="L503" s="156"/>
      <c r="M503" s="151"/>
      <c r="N503" s="151"/>
      <c r="O503" s="151"/>
      <c r="P503" s="151"/>
      <c r="Q503" s="151"/>
    </row>
    <row r="504" spans="1:17" ht="14.25" customHeight="1">
      <c r="A504" s="34">
        <v>746</v>
      </c>
      <c r="B504" s="34" t="s">
        <v>584</v>
      </c>
      <c r="C504" s="34" t="s">
        <v>585</v>
      </c>
      <c r="D504" s="75">
        <v>45561</v>
      </c>
      <c r="E504" s="34" t="s">
        <v>19</v>
      </c>
      <c r="F504" s="34" t="s">
        <v>169</v>
      </c>
      <c r="G504" s="34" t="s">
        <v>586</v>
      </c>
      <c r="H504" s="34" t="s">
        <v>587</v>
      </c>
      <c r="I504" s="34" t="s">
        <v>565</v>
      </c>
      <c r="J504" s="85" t="s">
        <v>34</v>
      </c>
      <c r="K504" s="34" t="s">
        <v>35</v>
      </c>
      <c r="L504" s="156"/>
      <c r="M504" s="151"/>
      <c r="N504" s="151"/>
      <c r="O504" s="151"/>
      <c r="P504" s="151"/>
      <c r="Q504" s="151"/>
    </row>
    <row r="505" spans="1:17" ht="14.25" customHeight="1">
      <c r="A505" s="34">
        <v>745</v>
      </c>
      <c r="B505" s="34">
        <v>1040</v>
      </c>
      <c r="C505" s="34" t="s">
        <v>588</v>
      </c>
      <c r="D505" s="75">
        <v>45561</v>
      </c>
      <c r="E505" s="34" t="s">
        <v>88</v>
      </c>
      <c r="F505" s="34" t="s">
        <v>589</v>
      </c>
      <c r="G505" s="34" t="s">
        <v>590</v>
      </c>
      <c r="H505" s="34" t="s">
        <v>160</v>
      </c>
      <c r="I505" s="34" t="s">
        <v>591</v>
      </c>
      <c r="J505" s="100" t="s">
        <v>50</v>
      </c>
      <c r="K505" s="34" t="s">
        <v>51</v>
      </c>
      <c r="L505" s="156"/>
      <c r="M505" s="151"/>
      <c r="N505" s="151"/>
      <c r="O505" s="151"/>
      <c r="P505" s="151"/>
      <c r="Q505" s="151"/>
    </row>
    <row r="506" spans="1:17" ht="14.25" customHeight="1">
      <c r="A506" s="34">
        <v>744</v>
      </c>
      <c r="B506" s="107" t="s">
        <v>592</v>
      </c>
      <c r="C506" s="34" t="s">
        <v>585</v>
      </c>
      <c r="D506" s="75">
        <v>45561</v>
      </c>
      <c r="E506" s="34" t="s">
        <v>19</v>
      </c>
      <c r="F506" s="34" t="s">
        <v>593</v>
      </c>
      <c r="G506" s="34" t="s">
        <v>197</v>
      </c>
      <c r="H506" s="34" t="s">
        <v>594</v>
      </c>
      <c r="I506" s="36" t="s">
        <v>101</v>
      </c>
      <c r="J506" s="85" t="s">
        <v>34</v>
      </c>
      <c r="K506" s="34" t="s">
        <v>35</v>
      </c>
      <c r="L506" s="156"/>
      <c r="M506" s="151"/>
      <c r="N506" s="151"/>
      <c r="O506" s="151"/>
      <c r="P506" s="151"/>
      <c r="Q506" s="151"/>
    </row>
    <row r="507" spans="1:17" ht="14.25" customHeight="1">
      <c r="A507" s="34">
        <v>704</v>
      </c>
      <c r="B507" s="34">
        <v>989</v>
      </c>
      <c r="C507" s="34" t="s">
        <v>595</v>
      </c>
      <c r="D507" s="75">
        <v>45507</v>
      </c>
      <c r="E507" s="34" t="s">
        <v>25</v>
      </c>
      <c r="F507" s="34" t="s">
        <v>596</v>
      </c>
      <c r="G507" s="34" t="s">
        <v>197</v>
      </c>
      <c r="H507" s="34" t="s">
        <v>597</v>
      </c>
      <c r="I507" s="36" t="s">
        <v>598</v>
      </c>
      <c r="J507" s="85" t="s">
        <v>34</v>
      </c>
      <c r="K507" s="34" t="s">
        <v>35</v>
      </c>
      <c r="L507" s="156"/>
      <c r="M507" s="151"/>
      <c r="N507" s="151"/>
      <c r="O507" s="151"/>
      <c r="P507" s="151"/>
      <c r="Q507" s="151"/>
    </row>
    <row r="508" spans="1:17" ht="14.25" customHeight="1">
      <c r="A508" s="79" t="s">
        <v>599</v>
      </c>
      <c r="B508" s="34">
        <v>990</v>
      </c>
      <c r="C508" s="34" t="s">
        <v>24</v>
      </c>
      <c r="D508" s="75">
        <v>45511</v>
      </c>
      <c r="E508" s="34" t="s">
        <v>19</v>
      </c>
      <c r="F508" s="34" t="s">
        <v>242</v>
      </c>
      <c r="G508" s="34" t="s">
        <v>243</v>
      </c>
      <c r="H508" s="34" t="s">
        <v>600</v>
      </c>
      <c r="I508" s="36" t="s">
        <v>601</v>
      </c>
      <c r="J508" s="102" t="s">
        <v>34</v>
      </c>
      <c r="K508" s="34" t="s">
        <v>35</v>
      </c>
      <c r="L508" s="156"/>
      <c r="M508" s="151"/>
      <c r="N508" s="151"/>
      <c r="O508" s="151"/>
      <c r="P508" s="151"/>
      <c r="Q508" s="151"/>
    </row>
    <row r="509" spans="1:17" ht="14.25" customHeight="1">
      <c r="A509" s="79" t="s">
        <v>602</v>
      </c>
      <c r="B509" s="34">
        <v>991</v>
      </c>
      <c r="C509" s="34" t="s">
        <v>24</v>
      </c>
      <c r="D509" s="75">
        <v>45511</v>
      </c>
      <c r="E509" s="34" t="s">
        <v>25</v>
      </c>
      <c r="F509" s="34" t="s">
        <v>603</v>
      </c>
      <c r="G509" s="34" t="s">
        <v>604</v>
      </c>
      <c r="H509" s="34" t="s">
        <v>605</v>
      </c>
      <c r="I509" s="36" t="s">
        <v>606</v>
      </c>
      <c r="J509" s="102" t="s">
        <v>34</v>
      </c>
      <c r="K509" s="34" t="s">
        <v>35</v>
      </c>
      <c r="L509" s="156"/>
      <c r="M509" s="151"/>
      <c r="N509" s="151"/>
      <c r="O509" s="151"/>
      <c r="P509" s="151"/>
      <c r="Q509" s="151"/>
    </row>
    <row r="510" spans="1:17" ht="14.25" customHeight="1">
      <c r="A510" s="36">
        <v>692</v>
      </c>
      <c r="B510" s="36">
        <v>975</v>
      </c>
      <c r="C510" s="34" t="s">
        <v>24</v>
      </c>
      <c r="D510" s="75">
        <v>45495</v>
      </c>
      <c r="E510" s="36" t="s">
        <v>101</v>
      </c>
      <c r="F510" s="36" t="s">
        <v>607</v>
      </c>
      <c r="G510" s="36" t="s">
        <v>608</v>
      </c>
      <c r="H510" s="36" t="s">
        <v>394</v>
      </c>
      <c r="I510" s="36" t="s">
        <v>609</v>
      </c>
      <c r="J510" s="85" t="s">
        <v>34</v>
      </c>
      <c r="K510" s="34" t="s">
        <v>297</v>
      </c>
      <c r="L510" s="156"/>
      <c r="M510" s="151"/>
      <c r="N510" s="151"/>
      <c r="O510" s="151"/>
      <c r="P510" s="151"/>
      <c r="Q510" s="151"/>
    </row>
    <row r="511" spans="1:17" ht="14.25" customHeight="1">
      <c r="A511" s="79" t="s">
        <v>610</v>
      </c>
      <c r="B511" s="34">
        <v>992</v>
      </c>
      <c r="C511" s="34" t="s">
        <v>24</v>
      </c>
      <c r="D511" s="75">
        <v>45511</v>
      </c>
      <c r="E511" s="36" t="s">
        <v>25</v>
      </c>
      <c r="F511" s="36" t="s">
        <v>246</v>
      </c>
      <c r="G511" s="36" t="s">
        <v>611</v>
      </c>
      <c r="H511" s="36" t="s">
        <v>539</v>
      </c>
      <c r="I511" s="36" t="s">
        <v>612</v>
      </c>
      <c r="J511" s="85" t="s">
        <v>34</v>
      </c>
      <c r="K511" s="34" t="s">
        <v>35</v>
      </c>
      <c r="L511" s="156"/>
      <c r="M511" s="151"/>
      <c r="N511" s="151"/>
      <c r="O511" s="151"/>
      <c r="P511" s="151"/>
      <c r="Q511" s="151"/>
    </row>
    <row r="512" spans="1:17" ht="14.25" customHeight="1">
      <c r="A512" s="108" t="s">
        <v>613</v>
      </c>
      <c r="B512" s="107" t="s">
        <v>592</v>
      </c>
      <c r="C512" s="34" t="s">
        <v>614</v>
      </c>
      <c r="D512" s="75">
        <v>45560</v>
      </c>
      <c r="E512" s="75" t="s">
        <v>615</v>
      </c>
      <c r="F512" s="75" t="s">
        <v>616</v>
      </c>
      <c r="G512" s="75" t="s">
        <v>197</v>
      </c>
      <c r="H512" s="36" t="s">
        <v>605</v>
      </c>
      <c r="I512" s="36" t="s">
        <v>617</v>
      </c>
      <c r="J512" s="85" t="s">
        <v>34</v>
      </c>
      <c r="K512" s="34" t="s">
        <v>297</v>
      </c>
      <c r="L512" s="156"/>
      <c r="M512" s="151"/>
      <c r="N512" s="151"/>
      <c r="O512" s="151"/>
      <c r="P512" s="151"/>
      <c r="Q512" s="151"/>
    </row>
    <row r="513" spans="1:17" ht="14.25" customHeight="1">
      <c r="A513" s="79">
        <v>742</v>
      </c>
      <c r="B513" s="36" t="s">
        <v>618</v>
      </c>
      <c r="C513" s="36" t="s">
        <v>545</v>
      </c>
      <c r="D513" s="75">
        <v>45558</v>
      </c>
      <c r="E513" s="36" t="s">
        <v>144</v>
      </c>
      <c r="F513" s="36" t="s">
        <v>619</v>
      </c>
      <c r="G513" s="36" t="s">
        <v>620</v>
      </c>
      <c r="H513" s="36" t="s">
        <v>621</v>
      </c>
      <c r="I513" s="36" t="s">
        <v>622</v>
      </c>
      <c r="J513" s="105" t="s">
        <v>34</v>
      </c>
      <c r="K513" s="34" t="s">
        <v>623</v>
      </c>
      <c r="L513" s="156"/>
      <c r="M513" s="151"/>
      <c r="N513" s="151"/>
      <c r="O513" s="151"/>
      <c r="P513" s="151"/>
      <c r="Q513" s="151"/>
    </row>
    <row r="514" spans="1:17" ht="14.25" customHeight="1">
      <c r="A514" s="79">
        <v>741</v>
      </c>
      <c r="B514" s="109" t="s">
        <v>592</v>
      </c>
      <c r="C514" s="36" t="s">
        <v>624</v>
      </c>
      <c r="D514" s="75">
        <v>45558</v>
      </c>
      <c r="E514" s="36" t="s">
        <v>19</v>
      </c>
      <c r="F514" s="36" t="s">
        <v>537</v>
      </c>
      <c r="G514" s="36" t="s">
        <v>538</v>
      </c>
      <c r="H514" s="110" t="s">
        <v>625</v>
      </c>
      <c r="I514" s="36" t="s">
        <v>540</v>
      </c>
      <c r="J514" s="105" t="s">
        <v>34</v>
      </c>
      <c r="K514" s="34" t="s">
        <v>35</v>
      </c>
      <c r="L514" s="156"/>
      <c r="M514" s="151"/>
      <c r="N514" s="151"/>
      <c r="O514" s="151"/>
      <c r="P514" s="151"/>
      <c r="Q514" s="151"/>
    </row>
    <row r="515" spans="1:17" ht="14.25" customHeight="1">
      <c r="A515" s="36">
        <v>740</v>
      </c>
      <c r="B515" s="36">
        <v>1034</v>
      </c>
      <c r="C515" s="36" t="s">
        <v>626</v>
      </c>
      <c r="D515" s="75">
        <v>45556</v>
      </c>
      <c r="E515" s="36" t="s">
        <v>25</v>
      </c>
      <c r="F515" s="36" t="s">
        <v>627</v>
      </c>
      <c r="G515" s="36" t="s">
        <v>628</v>
      </c>
      <c r="H515" s="36" t="s">
        <v>621</v>
      </c>
      <c r="I515" s="36" t="s">
        <v>101</v>
      </c>
      <c r="J515" s="85" t="s">
        <v>34</v>
      </c>
      <c r="K515" s="34" t="s">
        <v>35</v>
      </c>
      <c r="L515" s="156"/>
      <c r="M515" s="151"/>
      <c r="N515" s="151"/>
      <c r="O515" s="151"/>
      <c r="P515" s="151"/>
      <c r="Q515" s="151"/>
    </row>
    <row r="516" spans="1:17" ht="14.25" customHeight="1">
      <c r="A516" s="36" t="s">
        <v>629</v>
      </c>
      <c r="B516" s="36">
        <v>1036</v>
      </c>
      <c r="C516" s="36" t="s">
        <v>630</v>
      </c>
      <c r="D516" s="75">
        <v>45556</v>
      </c>
      <c r="E516" s="36" t="s">
        <v>563</v>
      </c>
      <c r="F516" s="36" t="s">
        <v>169</v>
      </c>
      <c r="G516" s="36" t="s">
        <v>631</v>
      </c>
      <c r="H516" s="36" t="s">
        <v>632</v>
      </c>
      <c r="I516" s="36" t="s">
        <v>565</v>
      </c>
      <c r="J516" s="85" t="s">
        <v>34</v>
      </c>
      <c r="K516" s="34" t="s">
        <v>35</v>
      </c>
      <c r="L516" s="156"/>
      <c r="M516" s="151"/>
      <c r="N516" s="151"/>
      <c r="O516" s="151"/>
      <c r="P516" s="151"/>
      <c r="Q516" s="151"/>
    </row>
    <row r="517" spans="1:17" ht="14.25" customHeight="1">
      <c r="A517" s="36" t="s">
        <v>633</v>
      </c>
      <c r="B517" s="36">
        <v>1037</v>
      </c>
      <c r="C517" s="36" t="s">
        <v>630</v>
      </c>
      <c r="D517" s="75">
        <v>45556</v>
      </c>
      <c r="E517" s="36" t="s">
        <v>563</v>
      </c>
      <c r="F517" s="36" t="s">
        <v>634</v>
      </c>
      <c r="G517" s="36" t="s">
        <v>635</v>
      </c>
      <c r="H517" s="36" t="s">
        <v>636</v>
      </c>
      <c r="I517" s="36" t="s">
        <v>565</v>
      </c>
      <c r="J517" s="85" t="s">
        <v>34</v>
      </c>
      <c r="K517" s="34" t="s">
        <v>35</v>
      </c>
      <c r="L517" s="156"/>
      <c r="M517" s="151"/>
      <c r="N517" s="151"/>
      <c r="O517" s="151"/>
      <c r="P517" s="151"/>
      <c r="Q517" s="151"/>
    </row>
    <row r="518" spans="1:17" ht="14.25" customHeight="1">
      <c r="A518" s="36" t="s">
        <v>637</v>
      </c>
      <c r="B518" s="36">
        <v>1035</v>
      </c>
      <c r="C518" s="36" t="s">
        <v>630</v>
      </c>
      <c r="D518" s="75">
        <v>45556</v>
      </c>
      <c r="E518" s="36" t="s">
        <v>638</v>
      </c>
      <c r="F518" s="36" t="s">
        <v>639</v>
      </c>
      <c r="G518" s="36">
        <v>32103011616</v>
      </c>
      <c r="H518" s="36" t="s">
        <v>640</v>
      </c>
      <c r="I518" s="36" t="s">
        <v>641</v>
      </c>
      <c r="J518" s="85" t="s">
        <v>34</v>
      </c>
      <c r="K518" s="34" t="s">
        <v>35</v>
      </c>
      <c r="L518" s="156"/>
      <c r="M518" s="151"/>
      <c r="N518" s="151"/>
      <c r="O518" s="151"/>
      <c r="P518" s="151"/>
      <c r="Q518" s="151"/>
    </row>
    <row r="519" spans="1:17" ht="14.25" customHeight="1">
      <c r="A519" s="36" t="s">
        <v>642</v>
      </c>
      <c r="B519" s="36">
        <v>1033</v>
      </c>
      <c r="C519" s="36" t="s">
        <v>630</v>
      </c>
      <c r="D519" s="75">
        <v>45556</v>
      </c>
      <c r="E519" s="36" t="s">
        <v>638</v>
      </c>
      <c r="F519" s="36" t="s">
        <v>643</v>
      </c>
      <c r="G519" s="36" t="s">
        <v>644</v>
      </c>
      <c r="H519" s="36" t="s">
        <v>640</v>
      </c>
      <c r="I519" s="36" t="s">
        <v>565</v>
      </c>
      <c r="J519" s="85" t="s">
        <v>34</v>
      </c>
      <c r="K519" s="34" t="s">
        <v>35</v>
      </c>
      <c r="L519" s="156"/>
      <c r="M519" s="151"/>
      <c r="N519" s="151"/>
      <c r="O519" s="151"/>
      <c r="P519" s="151"/>
      <c r="Q519" s="151"/>
    </row>
    <row r="520" spans="1:17" ht="14.25" customHeight="1">
      <c r="A520" s="36">
        <v>738</v>
      </c>
      <c r="B520" s="36">
        <v>1032</v>
      </c>
      <c r="C520" s="36" t="s">
        <v>645</v>
      </c>
      <c r="D520" s="75">
        <v>45556</v>
      </c>
      <c r="E520" s="36" t="s">
        <v>25</v>
      </c>
      <c r="F520" s="36" t="s">
        <v>646</v>
      </c>
      <c r="G520" s="36" t="s">
        <v>647</v>
      </c>
      <c r="H520" s="36" t="s">
        <v>648</v>
      </c>
      <c r="I520" s="34" t="s">
        <v>649</v>
      </c>
      <c r="J520" s="85" t="s">
        <v>34</v>
      </c>
      <c r="K520" s="34" t="s">
        <v>297</v>
      </c>
      <c r="L520" s="156"/>
      <c r="M520" s="151"/>
      <c r="N520" s="151"/>
      <c r="O520" s="151"/>
      <c r="P520" s="151"/>
      <c r="Q520" s="151"/>
    </row>
    <row r="521" spans="1:17" ht="14.25" customHeight="1">
      <c r="A521" s="36">
        <v>737</v>
      </c>
      <c r="B521" s="36">
        <v>1031</v>
      </c>
      <c r="C521" s="36" t="s">
        <v>650</v>
      </c>
      <c r="D521" s="75">
        <v>45556</v>
      </c>
      <c r="E521" s="36" t="s">
        <v>25</v>
      </c>
      <c r="F521" s="36" t="s">
        <v>651</v>
      </c>
      <c r="G521" s="36" t="s">
        <v>652</v>
      </c>
      <c r="H521" s="36" t="s">
        <v>653</v>
      </c>
      <c r="I521" s="36" t="s">
        <v>654</v>
      </c>
      <c r="J521" s="85" t="s">
        <v>34</v>
      </c>
      <c r="K521" s="34" t="s">
        <v>35</v>
      </c>
      <c r="L521" s="156"/>
      <c r="M521" s="151"/>
      <c r="N521" s="151"/>
      <c r="O521" s="151"/>
      <c r="P521" s="151"/>
      <c r="Q521" s="151"/>
    </row>
    <row r="522" spans="1:17" ht="14.25" customHeight="1">
      <c r="A522" s="111">
        <v>736</v>
      </c>
      <c r="B522" s="36">
        <v>1028</v>
      </c>
      <c r="C522" s="36" t="s">
        <v>655</v>
      </c>
      <c r="D522" s="75">
        <v>45547</v>
      </c>
      <c r="E522" s="36" t="s">
        <v>25</v>
      </c>
      <c r="F522" s="110" t="s">
        <v>656</v>
      </c>
      <c r="G522" s="36" t="s">
        <v>657</v>
      </c>
      <c r="H522" s="36" t="s">
        <v>658</v>
      </c>
      <c r="I522" s="34" t="s">
        <v>659</v>
      </c>
      <c r="J522" s="85" t="s">
        <v>34</v>
      </c>
      <c r="K522" s="34" t="s">
        <v>660</v>
      </c>
      <c r="L522" s="156"/>
      <c r="M522" s="151"/>
      <c r="N522" s="151"/>
      <c r="O522" s="151"/>
      <c r="P522" s="151"/>
      <c r="Q522" s="151"/>
    </row>
    <row r="523" spans="1:17" ht="14.25" customHeight="1">
      <c r="A523" s="112">
        <v>735</v>
      </c>
      <c r="B523" s="113">
        <v>1027</v>
      </c>
      <c r="C523" s="36" t="s">
        <v>661</v>
      </c>
      <c r="D523" s="75">
        <v>45546</v>
      </c>
      <c r="E523" s="36" t="s">
        <v>25</v>
      </c>
      <c r="F523" s="110" t="s">
        <v>316</v>
      </c>
      <c r="G523" s="36" t="s">
        <v>197</v>
      </c>
      <c r="H523" s="34" t="s">
        <v>662</v>
      </c>
      <c r="I523" s="114" t="s">
        <v>101</v>
      </c>
      <c r="J523" s="85" t="s">
        <v>34</v>
      </c>
      <c r="K523" s="34" t="s">
        <v>297</v>
      </c>
      <c r="L523" s="156"/>
      <c r="M523" s="151"/>
      <c r="N523" s="151"/>
      <c r="O523" s="151"/>
      <c r="P523" s="151"/>
      <c r="Q523" s="151"/>
    </row>
    <row r="524" spans="1:17" ht="14.25" customHeight="1">
      <c r="A524" s="36">
        <v>734</v>
      </c>
      <c r="B524" s="115">
        <v>1029</v>
      </c>
      <c r="C524" s="116" t="s">
        <v>24</v>
      </c>
      <c r="D524" s="75">
        <v>45546</v>
      </c>
      <c r="E524" s="36" t="s">
        <v>399</v>
      </c>
      <c r="F524" s="110" t="s">
        <v>663</v>
      </c>
      <c r="G524" s="36" t="s">
        <v>197</v>
      </c>
      <c r="H524" s="36" t="s">
        <v>664</v>
      </c>
      <c r="I524" s="34" t="s">
        <v>665</v>
      </c>
      <c r="J524" s="85" t="s">
        <v>34</v>
      </c>
      <c r="K524" s="34" t="s">
        <v>35</v>
      </c>
      <c r="L524" s="156"/>
      <c r="M524" s="151"/>
      <c r="N524" s="151"/>
      <c r="O524" s="151"/>
      <c r="P524" s="151"/>
      <c r="Q524" s="151"/>
    </row>
    <row r="525" spans="1:17" ht="14.25" customHeight="1">
      <c r="A525" s="117">
        <v>439</v>
      </c>
      <c r="B525" s="118">
        <v>649</v>
      </c>
      <c r="C525" s="36" t="s">
        <v>666</v>
      </c>
      <c r="D525" s="75">
        <v>45174</v>
      </c>
      <c r="E525" s="110" t="s">
        <v>19</v>
      </c>
      <c r="F525" s="36" t="s">
        <v>78</v>
      </c>
      <c r="G525" s="119" t="s">
        <v>79</v>
      </c>
      <c r="H525" s="36" t="s">
        <v>160</v>
      </c>
      <c r="I525" s="114" t="s">
        <v>667</v>
      </c>
      <c r="J525" s="120" t="s">
        <v>34</v>
      </c>
      <c r="K525" s="34" t="s">
        <v>35</v>
      </c>
      <c r="L525" s="156"/>
      <c r="M525" s="151"/>
      <c r="N525" s="151"/>
      <c r="O525" s="151"/>
      <c r="P525" s="151"/>
      <c r="Q525" s="151"/>
    </row>
    <row r="526" spans="1:17" ht="14.25" customHeight="1">
      <c r="A526" s="111">
        <v>668</v>
      </c>
      <c r="B526" s="121">
        <v>946</v>
      </c>
      <c r="C526" s="36" t="s">
        <v>668</v>
      </c>
      <c r="D526" s="75">
        <v>45471</v>
      </c>
      <c r="E526" s="36" t="s">
        <v>669</v>
      </c>
      <c r="F526" s="114" t="s">
        <v>1841</v>
      </c>
      <c r="G526" s="36" t="s">
        <v>670</v>
      </c>
      <c r="H526" s="36" t="s">
        <v>671</v>
      </c>
      <c r="I526" s="36" t="s">
        <v>672</v>
      </c>
      <c r="J526" s="120" t="s">
        <v>34</v>
      </c>
      <c r="K526" s="34" t="s">
        <v>35</v>
      </c>
      <c r="L526" s="156"/>
      <c r="M526" s="151"/>
      <c r="N526" s="151"/>
      <c r="O526" s="151"/>
      <c r="P526" s="151"/>
      <c r="Q526" s="151"/>
    </row>
    <row r="527" spans="1:17" ht="14.25" customHeight="1">
      <c r="A527" s="111" t="s">
        <v>673</v>
      </c>
      <c r="B527" s="36">
        <v>1026</v>
      </c>
      <c r="C527" s="36" t="s">
        <v>674</v>
      </c>
      <c r="D527" s="75">
        <v>45545</v>
      </c>
      <c r="E527" s="110" t="s">
        <v>25</v>
      </c>
      <c r="F527" s="110" t="s">
        <v>418</v>
      </c>
      <c r="G527" s="110" t="s">
        <v>675</v>
      </c>
      <c r="H527" s="110" t="s">
        <v>101</v>
      </c>
      <c r="I527" s="110" t="s">
        <v>676</v>
      </c>
      <c r="J527" s="85" t="s">
        <v>34</v>
      </c>
      <c r="K527" s="34" t="s">
        <v>297</v>
      </c>
      <c r="L527" s="156"/>
      <c r="M527" s="151"/>
      <c r="N527" s="151"/>
      <c r="O527" s="151"/>
      <c r="P527" s="151"/>
      <c r="Q527" s="151"/>
    </row>
    <row r="528" spans="1:17" ht="14.25" customHeight="1">
      <c r="A528" s="111" t="s">
        <v>677</v>
      </c>
      <c r="B528" s="36">
        <v>1030</v>
      </c>
      <c r="C528" s="36" t="s">
        <v>674</v>
      </c>
      <c r="D528" s="75">
        <v>45545</v>
      </c>
      <c r="E528" s="110" t="s">
        <v>25</v>
      </c>
      <c r="F528" s="110" t="s">
        <v>414</v>
      </c>
      <c r="G528" s="110" t="s">
        <v>678</v>
      </c>
      <c r="H528" s="110" t="s">
        <v>101</v>
      </c>
      <c r="I528" s="104" t="s">
        <v>679</v>
      </c>
      <c r="J528" s="85" t="s">
        <v>34</v>
      </c>
      <c r="K528" s="34" t="s">
        <v>297</v>
      </c>
      <c r="L528" s="156"/>
      <c r="M528" s="151"/>
      <c r="N528" s="151"/>
      <c r="O528" s="151"/>
      <c r="P528" s="151"/>
      <c r="Q528" s="151"/>
    </row>
    <row r="529" spans="1:17" ht="14.25" customHeight="1">
      <c r="A529" s="110" t="s">
        <v>680</v>
      </c>
      <c r="B529" s="110">
        <v>1025</v>
      </c>
      <c r="C529" s="110" t="s">
        <v>681</v>
      </c>
      <c r="D529" s="75">
        <v>45436</v>
      </c>
      <c r="E529" s="110" t="s">
        <v>25</v>
      </c>
      <c r="F529" s="110" t="s">
        <v>414</v>
      </c>
      <c r="G529" s="36" t="s">
        <v>682</v>
      </c>
      <c r="H529" s="36" t="s">
        <v>101</v>
      </c>
      <c r="I529" s="104" t="s">
        <v>683</v>
      </c>
      <c r="J529" s="85" t="s">
        <v>34</v>
      </c>
      <c r="K529" s="34" t="s">
        <v>35</v>
      </c>
      <c r="L529" s="156"/>
      <c r="M529" s="151"/>
      <c r="N529" s="151"/>
      <c r="O529" s="151"/>
      <c r="P529" s="151"/>
      <c r="Q529" s="151"/>
    </row>
    <row r="530" spans="1:17" ht="14.25" customHeight="1">
      <c r="A530" s="110">
        <v>731</v>
      </c>
      <c r="B530" s="110">
        <v>1024</v>
      </c>
      <c r="C530" s="104" t="s">
        <v>684</v>
      </c>
      <c r="D530" s="75">
        <v>45539</v>
      </c>
      <c r="E530" s="110" t="s">
        <v>19</v>
      </c>
      <c r="F530" s="122" t="s">
        <v>685</v>
      </c>
      <c r="G530" s="36" t="s">
        <v>686</v>
      </c>
      <c r="H530" s="34" t="s">
        <v>687</v>
      </c>
      <c r="I530" s="110" t="s">
        <v>688</v>
      </c>
      <c r="J530" s="100" t="s">
        <v>50</v>
      </c>
      <c r="K530" s="34" t="s">
        <v>51</v>
      </c>
      <c r="L530" s="156"/>
      <c r="M530" s="151"/>
      <c r="N530" s="151"/>
      <c r="O530" s="151"/>
      <c r="P530" s="151"/>
      <c r="Q530" s="151"/>
    </row>
    <row r="531" spans="1:17" ht="14.25" customHeight="1">
      <c r="A531" s="34" t="s">
        <v>312</v>
      </c>
      <c r="B531" s="36">
        <v>1023</v>
      </c>
      <c r="C531" s="36" t="s">
        <v>689</v>
      </c>
      <c r="D531" s="75">
        <v>45539</v>
      </c>
      <c r="E531" s="36" t="s">
        <v>690</v>
      </c>
      <c r="F531" s="34" t="s">
        <v>691</v>
      </c>
      <c r="G531" s="36" t="s">
        <v>101</v>
      </c>
      <c r="H531" s="36" t="s">
        <v>692</v>
      </c>
      <c r="I531" s="36" t="s">
        <v>101</v>
      </c>
      <c r="J531" s="85" t="s">
        <v>34</v>
      </c>
      <c r="K531" s="34" t="s">
        <v>35</v>
      </c>
      <c r="L531" s="156"/>
      <c r="M531" s="151"/>
      <c r="N531" s="151"/>
      <c r="O531" s="151"/>
      <c r="P531" s="151"/>
      <c r="Q531" s="151"/>
    </row>
    <row r="532" spans="1:17" ht="14.25" customHeight="1">
      <c r="A532" s="110">
        <v>730</v>
      </c>
      <c r="B532" s="110">
        <v>1022</v>
      </c>
      <c r="C532" s="110" t="s">
        <v>693</v>
      </c>
      <c r="D532" s="75">
        <v>45538</v>
      </c>
      <c r="E532" s="110" t="s">
        <v>25</v>
      </c>
      <c r="F532" s="110" t="s">
        <v>694</v>
      </c>
      <c r="G532" s="36" t="s">
        <v>695</v>
      </c>
      <c r="H532" s="36" t="s">
        <v>101</v>
      </c>
      <c r="I532" s="110" t="s">
        <v>696</v>
      </c>
      <c r="J532" s="120" t="s">
        <v>34</v>
      </c>
      <c r="K532" s="34" t="s">
        <v>35</v>
      </c>
      <c r="L532" s="156"/>
      <c r="M532" s="151"/>
      <c r="N532" s="151"/>
      <c r="O532" s="151"/>
      <c r="P532" s="151"/>
      <c r="Q532" s="151"/>
    </row>
    <row r="533" spans="1:17" ht="14.25" customHeight="1">
      <c r="A533" s="110">
        <v>729</v>
      </c>
      <c r="B533" s="110">
        <v>1021</v>
      </c>
      <c r="C533" s="110" t="s">
        <v>697</v>
      </c>
      <c r="D533" s="75">
        <v>45538</v>
      </c>
      <c r="E533" s="110" t="s">
        <v>25</v>
      </c>
      <c r="F533" s="110" t="s">
        <v>698</v>
      </c>
      <c r="G533" s="36" t="s">
        <v>699</v>
      </c>
      <c r="H533" s="36" t="s">
        <v>700</v>
      </c>
      <c r="I533" s="110" t="s">
        <v>701</v>
      </c>
      <c r="J533" s="120" t="s">
        <v>34</v>
      </c>
      <c r="K533" s="34" t="s">
        <v>297</v>
      </c>
      <c r="L533" s="156"/>
      <c r="M533" s="151"/>
      <c r="N533" s="151"/>
      <c r="O533" s="151"/>
      <c r="P533" s="151"/>
      <c r="Q533" s="151"/>
    </row>
    <row r="534" spans="1:17" ht="14.25" customHeight="1">
      <c r="A534" s="110">
        <v>727</v>
      </c>
      <c r="B534" s="110">
        <v>1020</v>
      </c>
      <c r="C534" s="110" t="s">
        <v>18</v>
      </c>
      <c r="D534" s="75">
        <v>45535</v>
      </c>
      <c r="E534" s="110" t="s">
        <v>19</v>
      </c>
      <c r="F534" s="110" t="s">
        <v>537</v>
      </c>
      <c r="G534" s="36" t="s">
        <v>538</v>
      </c>
      <c r="H534" s="36" t="s">
        <v>702</v>
      </c>
      <c r="I534" s="123" t="s">
        <v>703</v>
      </c>
      <c r="J534" s="120" t="s">
        <v>34</v>
      </c>
      <c r="K534" s="34" t="s">
        <v>35</v>
      </c>
      <c r="L534" s="156"/>
      <c r="M534" s="151"/>
      <c r="N534" s="151"/>
      <c r="O534" s="151"/>
      <c r="P534" s="151"/>
      <c r="Q534" s="151"/>
    </row>
    <row r="535" spans="1:17" ht="14.25" customHeight="1">
      <c r="A535" s="110">
        <v>728</v>
      </c>
      <c r="B535" s="110">
        <v>1019</v>
      </c>
      <c r="C535" s="110" t="s">
        <v>545</v>
      </c>
      <c r="D535" s="75">
        <v>45538</v>
      </c>
      <c r="E535" s="110" t="s">
        <v>25</v>
      </c>
      <c r="F535" s="110" t="s">
        <v>704</v>
      </c>
      <c r="G535" s="36" t="s">
        <v>705</v>
      </c>
      <c r="H535" s="36" t="s">
        <v>706</v>
      </c>
      <c r="I535" s="110" t="s">
        <v>707</v>
      </c>
      <c r="J535" s="120" t="s">
        <v>34</v>
      </c>
      <c r="K535" s="34" t="s">
        <v>35</v>
      </c>
      <c r="L535" s="156"/>
      <c r="M535" s="151"/>
      <c r="N535" s="151"/>
      <c r="O535" s="151"/>
      <c r="P535" s="151"/>
      <c r="Q535" s="151"/>
    </row>
    <row r="536" spans="1:17" ht="14.25" customHeight="1">
      <c r="A536" s="110">
        <v>721</v>
      </c>
      <c r="B536" s="110">
        <v>1018</v>
      </c>
      <c r="C536" s="110" t="s">
        <v>689</v>
      </c>
      <c r="D536" s="75">
        <v>45530</v>
      </c>
      <c r="E536" s="110" t="s">
        <v>517</v>
      </c>
      <c r="F536" s="110" t="s">
        <v>708</v>
      </c>
      <c r="G536" s="36" t="s">
        <v>197</v>
      </c>
      <c r="H536" s="36" t="s">
        <v>101</v>
      </c>
      <c r="I536" s="123" t="s">
        <v>709</v>
      </c>
      <c r="J536" s="120" t="s">
        <v>34</v>
      </c>
      <c r="K536" s="34" t="s">
        <v>35</v>
      </c>
      <c r="L536" s="156"/>
      <c r="M536" s="151"/>
      <c r="N536" s="151"/>
      <c r="O536" s="151"/>
      <c r="P536" s="151"/>
      <c r="Q536" s="151"/>
    </row>
    <row r="537" spans="1:17" ht="14.25" customHeight="1">
      <c r="A537" s="110" t="s">
        <v>70</v>
      </c>
      <c r="B537" s="110">
        <v>1017</v>
      </c>
      <c r="C537" s="110" t="s">
        <v>710</v>
      </c>
      <c r="D537" s="75">
        <v>45535</v>
      </c>
      <c r="E537" s="110" t="s">
        <v>19</v>
      </c>
      <c r="F537" s="110" t="s">
        <v>169</v>
      </c>
      <c r="G537" s="36" t="s">
        <v>711</v>
      </c>
      <c r="H537" s="36" t="s">
        <v>712</v>
      </c>
      <c r="I537" s="123" t="s">
        <v>713</v>
      </c>
      <c r="J537" s="120" t="s">
        <v>34</v>
      </c>
      <c r="K537" s="34" t="s">
        <v>142</v>
      </c>
      <c r="L537" s="156"/>
      <c r="M537" s="151"/>
      <c r="N537" s="151"/>
      <c r="O537" s="151"/>
      <c r="P537" s="151"/>
      <c r="Q537" s="151"/>
    </row>
    <row r="538" spans="1:17" ht="14.25" customHeight="1">
      <c r="A538" s="110">
        <v>726</v>
      </c>
      <c r="B538" s="110">
        <v>1016</v>
      </c>
      <c r="C538" s="110" t="s">
        <v>714</v>
      </c>
      <c r="D538" s="75">
        <v>45537</v>
      </c>
      <c r="E538" s="110" t="s">
        <v>25</v>
      </c>
      <c r="F538" s="110" t="s">
        <v>325</v>
      </c>
      <c r="G538" s="36" t="s">
        <v>715</v>
      </c>
      <c r="H538" s="34" t="s">
        <v>716</v>
      </c>
      <c r="I538" s="124" t="s">
        <v>717</v>
      </c>
      <c r="J538" s="125" t="s">
        <v>34</v>
      </c>
      <c r="K538" s="34" t="s">
        <v>297</v>
      </c>
      <c r="L538" s="156"/>
      <c r="M538" s="151"/>
      <c r="N538" s="151"/>
      <c r="O538" s="151"/>
      <c r="P538" s="151"/>
      <c r="Q538" s="151"/>
    </row>
    <row r="539" spans="1:17" ht="14.25" customHeight="1">
      <c r="A539" s="110" t="s">
        <v>718</v>
      </c>
      <c r="B539" s="110">
        <v>1015</v>
      </c>
      <c r="C539" s="110" t="s">
        <v>710</v>
      </c>
      <c r="D539" s="75">
        <v>45535</v>
      </c>
      <c r="E539" s="110" t="s">
        <v>19</v>
      </c>
      <c r="F539" s="110" t="s">
        <v>123</v>
      </c>
      <c r="G539" s="36" t="s">
        <v>719</v>
      </c>
      <c r="H539" s="36" t="s">
        <v>712</v>
      </c>
      <c r="I539" s="123" t="s">
        <v>713</v>
      </c>
      <c r="J539" s="120" t="s">
        <v>34</v>
      </c>
      <c r="K539" s="34" t="s">
        <v>35</v>
      </c>
      <c r="L539" s="156"/>
      <c r="M539" s="151"/>
      <c r="N539" s="151"/>
      <c r="O539" s="151"/>
      <c r="P539" s="151"/>
      <c r="Q539" s="151"/>
    </row>
    <row r="540" spans="1:17" ht="14.25" customHeight="1">
      <c r="A540" s="110">
        <v>724</v>
      </c>
      <c r="B540" s="110">
        <v>1014</v>
      </c>
      <c r="C540" s="104" t="s">
        <v>720</v>
      </c>
      <c r="D540" s="75">
        <v>45533</v>
      </c>
      <c r="E540" s="110" t="s">
        <v>25</v>
      </c>
      <c r="F540" s="110" t="s">
        <v>721</v>
      </c>
      <c r="G540" s="36" t="s">
        <v>197</v>
      </c>
      <c r="H540" s="34" t="s">
        <v>722</v>
      </c>
      <c r="I540" s="123" t="s">
        <v>723</v>
      </c>
      <c r="J540" s="120" t="s">
        <v>34</v>
      </c>
      <c r="K540" s="34" t="s">
        <v>35</v>
      </c>
      <c r="L540" s="156"/>
      <c r="M540" s="151"/>
      <c r="N540" s="151"/>
      <c r="O540" s="151"/>
      <c r="P540" s="151"/>
      <c r="Q540" s="151"/>
    </row>
    <row r="541" spans="1:17" ht="14.25" customHeight="1">
      <c r="A541" s="110">
        <v>722</v>
      </c>
      <c r="B541" s="110">
        <v>1013</v>
      </c>
      <c r="C541" s="104" t="s">
        <v>724</v>
      </c>
      <c r="D541" s="75">
        <v>45531</v>
      </c>
      <c r="E541" s="110" t="s">
        <v>25</v>
      </c>
      <c r="F541" s="110" t="s">
        <v>725</v>
      </c>
      <c r="G541" s="36" t="s">
        <v>726</v>
      </c>
      <c r="H541" s="36" t="s">
        <v>727</v>
      </c>
      <c r="I541" s="123" t="s">
        <v>728</v>
      </c>
      <c r="J541" s="120" t="s">
        <v>34</v>
      </c>
      <c r="K541" s="34" t="s">
        <v>35</v>
      </c>
      <c r="L541" s="156"/>
      <c r="M541" s="151"/>
      <c r="N541" s="151"/>
      <c r="O541" s="151"/>
      <c r="P541" s="151"/>
      <c r="Q541" s="151"/>
    </row>
    <row r="542" spans="1:17" ht="14.25" customHeight="1">
      <c r="A542" s="126">
        <v>720</v>
      </c>
      <c r="B542" s="127">
        <v>1012</v>
      </c>
      <c r="C542" s="127" t="s">
        <v>332</v>
      </c>
      <c r="D542" s="75">
        <v>45530</v>
      </c>
      <c r="E542" s="127" t="s">
        <v>25</v>
      </c>
      <c r="F542" s="127" t="s">
        <v>729</v>
      </c>
      <c r="G542" s="99" t="s">
        <v>197</v>
      </c>
      <c r="H542" s="88" t="s">
        <v>730</v>
      </c>
      <c r="I542" s="128" t="s">
        <v>731</v>
      </c>
      <c r="J542" s="105" t="s">
        <v>34</v>
      </c>
      <c r="K542" s="34" t="s">
        <v>35</v>
      </c>
      <c r="L542" s="156"/>
      <c r="M542" s="151"/>
      <c r="N542" s="151"/>
      <c r="O542" s="151"/>
      <c r="P542" s="151"/>
      <c r="Q542" s="151"/>
    </row>
    <row r="543" spans="1:17" ht="14.25" customHeight="1">
      <c r="A543" s="126" t="s">
        <v>732</v>
      </c>
      <c r="B543" s="127">
        <v>1011</v>
      </c>
      <c r="C543" s="127" t="s">
        <v>733</v>
      </c>
      <c r="D543" s="75">
        <v>45527</v>
      </c>
      <c r="E543" s="127" t="s">
        <v>25</v>
      </c>
      <c r="F543" s="127" t="s">
        <v>734</v>
      </c>
      <c r="G543" s="99" t="s">
        <v>206</v>
      </c>
      <c r="H543" s="99" t="s">
        <v>735</v>
      </c>
      <c r="I543" s="129" t="s">
        <v>736</v>
      </c>
      <c r="J543" s="105" t="s">
        <v>34</v>
      </c>
      <c r="K543" s="34" t="s">
        <v>35</v>
      </c>
      <c r="L543" s="156"/>
      <c r="M543" s="151"/>
      <c r="N543" s="151"/>
      <c r="O543" s="151"/>
      <c r="P543" s="151"/>
      <c r="Q543" s="151"/>
    </row>
    <row r="544" spans="1:17" ht="14.25" customHeight="1">
      <c r="A544" s="110" t="s">
        <v>737</v>
      </c>
      <c r="B544" s="110">
        <v>1010</v>
      </c>
      <c r="C544" s="110" t="s">
        <v>738</v>
      </c>
      <c r="D544" s="75">
        <v>45527</v>
      </c>
      <c r="E544" s="110" t="s">
        <v>19</v>
      </c>
      <c r="F544" s="110" t="s">
        <v>739</v>
      </c>
      <c r="G544" s="36" t="s">
        <v>740</v>
      </c>
      <c r="H544" s="34" t="s">
        <v>741</v>
      </c>
      <c r="I544" s="124" t="s">
        <v>742</v>
      </c>
      <c r="J544" s="120" t="s">
        <v>34</v>
      </c>
      <c r="K544" s="34" t="s">
        <v>35</v>
      </c>
      <c r="L544" s="156"/>
      <c r="M544" s="151"/>
      <c r="N544" s="151"/>
      <c r="O544" s="151"/>
      <c r="P544" s="151"/>
      <c r="Q544" s="151"/>
    </row>
    <row r="545" spans="1:17" ht="14.25" customHeight="1">
      <c r="A545" s="126">
        <v>661</v>
      </c>
      <c r="B545" s="127">
        <v>1009</v>
      </c>
      <c r="C545" s="127" t="s">
        <v>743</v>
      </c>
      <c r="D545" s="75">
        <v>45498</v>
      </c>
      <c r="E545" s="127" t="s">
        <v>88</v>
      </c>
      <c r="F545" s="127" t="s">
        <v>744</v>
      </c>
      <c r="G545" s="99" t="s">
        <v>745</v>
      </c>
      <c r="H545" s="99" t="s">
        <v>101</v>
      </c>
      <c r="I545" s="130"/>
      <c r="J545" s="105" t="s">
        <v>34</v>
      </c>
      <c r="K545" s="34" t="s">
        <v>35</v>
      </c>
      <c r="L545" s="156"/>
      <c r="M545" s="151"/>
      <c r="N545" s="151"/>
      <c r="O545" s="151"/>
      <c r="P545" s="151"/>
      <c r="Q545" s="151"/>
    </row>
    <row r="546" spans="1:17" ht="14.25" customHeight="1">
      <c r="A546" s="126" t="s">
        <v>746</v>
      </c>
      <c r="B546" s="127">
        <v>1008</v>
      </c>
      <c r="C546" s="127" t="s">
        <v>733</v>
      </c>
      <c r="D546" s="75">
        <v>45527</v>
      </c>
      <c r="E546" s="127" t="s">
        <v>747</v>
      </c>
      <c r="F546" s="127" t="s">
        <v>748</v>
      </c>
      <c r="G546" s="99" t="s">
        <v>197</v>
      </c>
      <c r="H546" s="88" t="s">
        <v>749</v>
      </c>
      <c r="I546" s="129" t="s">
        <v>750</v>
      </c>
      <c r="J546" s="105" t="s">
        <v>34</v>
      </c>
      <c r="K546" s="34" t="s">
        <v>623</v>
      </c>
      <c r="L546" s="156"/>
      <c r="M546" s="151"/>
      <c r="N546" s="151"/>
      <c r="O546" s="151"/>
      <c r="P546" s="151"/>
      <c r="Q546" s="151"/>
    </row>
    <row r="547" spans="1:17" ht="14.25" customHeight="1">
      <c r="A547" s="126">
        <v>719</v>
      </c>
      <c r="B547" s="127">
        <v>1007</v>
      </c>
      <c r="C547" s="127" t="s">
        <v>751</v>
      </c>
      <c r="D547" s="75">
        <v>45527</v>
      </c>
      <c r="E547" s="127" t="s">
        <v>25</v>
      </c>
      <c r="F547" s="127" t="s">
        <v>752</v>
      </c>
      <c r="G547" s="99" t="s">
        <v>753</v>
      </c>
      <c r="H547" s="99" t="s">
        <v>754</v>
      </c>
      <c r="I547" s="130"/>
      <c r="J547" s="105" t="s">
        <v>34</v>
      </c>
      <c r="K547" s="34" t="s">
        <v>35</v>
      </c>
      <c r="L547" s="156"/>
      <c r="M547" s="151"/>
      <c r="N547" s="151"/>
      <c r="O547" s="151"/>
      <c r="P547" s="151"/>
      <c r="Q547" s="151"/>
    </row>
    <row r="548" spans="1:17" ht="14.25" customHeight="1">
      <c r="A548" s="110">
        <v>712</v>
      </c>
      <c r="B548" s="110">
        <v>1006</v>
      </c>
      <c r="C548" s="104" t="s">
        <v>755</v>
      </c>
      <c r="D548" s="75">
        <v>45521</v>
      </c>
      <c r="E548" s="110" t="s">
        <v>25</v>
      </c>
      <c r="F548" s="110" t="s">
        <v>300</v>
      </c>
      <c r="G548" s="36" t="s">
        <v>756</v>
      </c>
      <c r="H548" s="36" t="s">
        <v>101</v>
      </c>
      <c r="I548" s="123"/>
      <c r="J548" s="47" t="s">
        <v>34</v>
      </c>
      <c r="K548" s="34" t="s">
        <v>35</v>
      </c>
      <c r="L548" s="156"/>
      <c r="M548" s="151"/>
      <c r="N548" s="151"/>
      <c r="O548" s="151"/>
      <c r="P548" s="151"/>
      <c r="Q548" s="151"/>
    </row>
    <row r="549" spans="1:17" ht="14.25" customHeight="1">
      <c r="A549" s="131">
        <v>717</v>
      </c>
      <c r="B549" s="132">
        <v>1005</v>
      </c>
      <c r="C549" s="133" t="s">
        <v>757</v>
      </c>
      <c r="D549" s="75">
        <v>45526</v>
      </c>
      <c r="E549" s="132" t="s">
        <v>25</v>
      </c>
      <c r="F549" s="132" t="s">
        <v>758</v>
      </c>
      <c r="G549" s="134" t="s">
        <v>759</v>
      </c>
      <c r="H549" s="91" t="s">
        <v>760</v>
      </c>
      <c r="I549" s="135" t="s">
        <v>761</v>
      </c>
      <c r="J549" s="136" t="s">
        <v>34</v>
      </c>
      <c r="K549" s="34" t="s">
        <v>35</v>
      </c>
      <c r="L549" s="156"/>
      <c r="M549" s="151"/>
      <c r="N549" s="151"/>
      <c r="O549" s="151"/>
      <c r="P549" s="151"/>
      <c r="Q549" s="151"/>
    </row>
    <row r="550" spans="1:17" ht="14.25" customHeight="1">
      <c r="A550" s="126" t="s">
        <v>762</v>
      </c>
      <c r="B550" s="127">
        <v>1004</v>
      </c>
      <c r="C550" s="137" t="s">
        <v>763</v>
      </c>
      <c r="D550" s="75">
        <v>45526</v>
      </c>
      <c r="E550" s="127" t="s">
        <v>25</v>
      </c>
      <c r="F550" s="127" t="s">
        <v>764</v>
      </c>
      <c r="G550" s="99" t="s">
        <v>620</v>
      </c>
      <c r="H550" s="88" t="s">
        <v>765</v>
      </c>
      <c r="I550" s="129" t="s">
        <v>766</v>
      </c>
      <c r="J550" s="138" t="s">
        <v>34</v>
      </c>
      <c r="K550" s="34" t="s">
        <v>35</v>
      </c>
      <c r="L550" s="156"/>
      <c r="M550" s="151"/>
      <c r="N550" s="151"/>
      <c r="O550" s="151"/>
      <c r="P550" s="151"/>
      <c r="Q550" s="151"/>
    </row>
    <row r="551" spans="1:17" ht="14.25" customHeight="1">
      <c r="A551" s="126">
        <v>714</v>
      </c>
      <c r="B551" s="127">
        <v>1003</v>
      </c>
      <c r="C551" s="137" t="s">
        <v>767</v>
      </c>
      <c r="D551" s="75">
        <v>45525</v>
      </c>
      <c r="E551" s="127" t="s">
        <v>25</v>
      </c>
      <c r="F551" s="127" t="s">
        <v>764</v>
      </c>
      <c r="G551" s="99" t="s">
        <v>768</v>
      </c>
      <c r="H551" s="99"/>
      <c r="I551" s="139"/>
      <c r="J551" s="138" t="s">
        <v>34</v>
      </c>
      <c r="K551" s="34" t="s">
        <v>769</v>
      </c>
      <c r="L551" s="156"/>
      <c r="M551" s="151"/>
      <c r="N551" s="151"/>
      <c r="O551" s="151"/>
      <c r="P551" s="151"/>
      <c r="Q551" s="151"/>
    </row>
    <row r="552" spans="1:17" ht="14.25" customHeight="1">
      <c r="A552" s="140" t="s">
        <v>312</v>
      </c>
      <c r="B552" s="88">
        <v>1001</v>
      </c>
      <c r="C552" s="99" t="s">
        <v>770</v>
      </c>
      <c r="D552" s="75">
        <v>45524</v>
      </c>
      <c r="E552" s="99" t="s">
        <v>771</v>
      </c>
      <c r="F552" s="99" t="s">
        <v>772</v>
      </c>
      <c r="G552" s="99" t="s">
        <v>773</v>
      </c>
      <c r="H552" s="88" t="s">
        <v>774</v>
      </c>
      <c r="I552" s="128" t="s">
        <v>775</v>
      </c>
      <c r="J552" s="138" t="s">
        <v>34</v>
      </c>
      <c r="K552" s="34" t="s">
        <v>35</v>
      </c>
      <c r="L552" s="156"/>
      <c r="M552" s="151"/>
      <c r="N552" s="151"/>
      <c r="O552" s="151"/>
      <c r="P552" s="151"/>
      <c r="Q552" s="151"/>
    </row>
    <row r="553" spans="1:17" ht="14.25" customHeight="1">
      <c r="A553" s="110">
        <v>713</v>
      </c>
      <c r="B553" s="110">
        <v>1000</v>
      </c>
      <c r="C553" s="110" t="s">
        <v>776</v>
      </c>
      <c r="D553" s="75">
        <v>45520</v>
      </c>
      <c r="E553" s="110" t="s">
        <v>777</v>
      </c>
      <c r="F553" s="110" t="s">
        <v>778</v>
      </c>
      <c r="G553" s="36" t="s">
        <v>779</v>
      </c>
      <c r="H553" s="36"/>
      <c r="I553" s="123"/>
      <c r="J553" s="120" t="s">
        <v>34</v>
      </c>
      <c r="K553" s="34" t="s">
        <v>35</v>
      </c>
      <c r="L553" s="156"/>
      <c r="M553" s="151"/>
      <c r="N553" s="151"/>
      <c r="O553" s="151"/>
      <c r="P553" s="151"/>
      <c r="Q553" s="151"/>
    </row>
    <row r="554" spans="1:17" ht="14.25" customHeight="1">
      <c r="A554" s="140" t="s">
        <v>312</v>
      </c>
      <c r="B554" s="88">
        <v>999</v>
      </c>
      <c r="C554" s="88" t="s">
        <v>780</v>
      </c>
      <c r="D554" s="75">
        <v>45520</v>
      </c>
      <c r="E554" s="99" t="s">
        <v>25</v>
      </c>
      <c r="F554" s="88" t="s">
        <v>781</v>
      </c>
      <c r="G554" s="88" t="s">
        <v>782</v>
      </c>
      <c r="H554" s="88" t="s">
        <v>783</v>
      </c>
      <c r="I554" s="128"/>
      <c r="J554" s="138" t="s">
        <v>34</v>
      </c>
      <c r="K554" s="34" t="s">
        <v>142</v>
      </c>
      <c r="L554" s="156"/>
      <c r="M554" s="151"/>
      <c r="N554" s="151"/>
      <c r="O554" s="151"/>
      <c r="P554" s="151"/>
      <c r="Q554" s="151"/>
    </row>
    <row r="555" spans="1:17" ht="14.25" customHeight="1">
      <c r="A555" s="126">
        <v>711</v>
      </c>
      <c r="B555" s="127">
        <v>998</v>
      </c>
      <c r="C555" s="137" t="s">
        <v>784</v>
      </c>
      <c r="D555" s="75">
        <v>45520</v>
      </c>
      <c r="E555" s="127" t="s">
        <v>19</v>
      </c>
      <c r="F555" s="127" t="s">
        <v>785</v>
      </c>
      <c r="G555" s="99" t="s">
        <v>197</v>
      </c>
      <c r="H555" s="88" t="s">
        <v>786</v>
      </c>
      <c r="I555" s="129" t="s">
        <v>787</v>
      </c>
      <c r="J555" s="105" t="s">
        <v>34</v>
      </c>
      <c r="K555" s="34" t="s">
        <v>623</v>
      </c>
      <c r="L555" s="156"/>
      <c r="M555" s="151"/>
      <c r="N555" s="151"/>
      <c r="O555" s="151"/>
      <c r="P555" s="151"/>
      <c r="Q555" s="151"/>
    </row>
    <row r="556" spans="1:17" ht="14.25" customHeight="1">
      <c r="A556" s="126">
        <v>661</v>
      </c>
      <c r="B556" s="127">
        <v>997</v>
      </c>
      <c r="C556" s="127" t="s">
        <v>18</v>
      </c>
      <c r="D556" s="75">
        <v>45468</v>
      </c>
      <c r="E556" s="127" t="s">
        <v>747</v>
      </c>
      <c r="F556" s="127" t="s">
        <v>788</v>
      </c>
      <c r="G556" s="99" t="s">
        <v>197</v>
      </c>
      <c r="H556" s="99" t="s">
        <v>101</v>
      </c>
      <c r="I556" s="130"/>
      <c r="J556" s="105" t="s">
        <v>34</v>
      </c>
      <c r="K556" s="34" t="s">
        <v>35</v>
      </c>
      <c r="L556" s="156"/>
      <c r="M556" s="151"/>
      <c r="N556" s="151"/>
      <c r="O556" s="151"/>
      <c r="P556" s="151"/>
      <c r="Q556" s="151"/>
    </row>
    <row r="557" spans="1:17" ht="14.25" customHeight="1">
      <c r="A557" s="126">
        <v>709</v>
      </c>
      <c r="B557" s="127">
        <v>996</v>
      </c>
      <c r="C557" s="137" t="s">
        <v>789</v>
      </c>
      <c r="D557" s="75">
        <v>45516</v>
      </c>
      <c r="E557" s="127" t="s">
        <v>25</v>
      </c>
      <c r="F557" s="127" t="s">
        <v>790</v>
      </c>
      <c r="G557" s="99" t="s">
        <v>791</v>
      </c>
      <c r="H557" s="99" t="s">
        <v>101</v>
      </c>
      <c r="I557" s="130"/>
      <c r="J557" s="105" t="s">
        <v>34</v>
      </c>
      <c r="K557" s="34" t="s">
        <v>35</v>
      </c>
      <c r="L557" s="156"/>
      <c r="M557" s="151"/>
      <c r="N557" s="151"/>
      <c r="O557" s="151"/>
      <c r="P557" s="151"/>
      <c r="Q557" s="151"/>
    </row>
    <row r="558" spans="1:17" ht="14.25" customHeight="1">
      <c r="A558" s="126" t="s">
        <v>792</v>
      </c>
      <c r="B558" s="127">
        <v>995</v>
      </c>
      <c r="C558" s="127" t="s">
        <v>527</v>
      </c>
      <c r="D558" s="75">
        <v>45517</v>
      </c>
      <c r="E558" s="137" t="s">
        <v>88</v>
      </c>
      <c r="F558" s="127" t="s">
        <v>166</v>
      </c>
      <c r="G558" s="99" t="s">
        <v>793</v>
      </c>
      <c r="H558" s="88" t="s">
        <v>794</v>
      </c>
      <c r="I558" s="130"/>
      <c r="J558" s="105" t="s">
        <v>34</v>
      </c>
      <c r="K558" s="34" t="s">
        <v>35</v>
      </c>
      <c r="L558" s="156"/>
      <c r="M558" s="151"/>
      <c r="N558" s="151"/>
      <c r="O558" s="151"/>
      <c r="P558" s="151"/>
      <c r="Q558" s="151"/>
    </row>
    <row r="559" spans="1:17" ht="14.25" customHeight="1">
      <c r="A559" s="126" t="s">
        <v>795</v>
      </c>
      <c r="B559" s="127">
        <v>994</v>
      </c>
      <c r="C559" s="127" t="s">
        <v>527</v>
      </c>
      <c r="D559" s="75">
        <v>45517</v>
      </c>
      <c r="E559" s="127" t="s">
        <v>88</v>
      </c>
      <c r="F559" s="127" t="s">
        <v>166</v>
      </c>
      <c r="G559" s="99" t="s">
        <v>796</v>
      </c>
      <c r="H559" s="99" t="s">
        <v>797</v>
      </c>
      <c r="I559" s="130"/>
      <c r="J559" s="105" t="s">
        <v>34</v>
      </c>
      <c r="K559" s="123" t="s">
        <v>769</v>
      </c>
      <c r="L559" s="156"/>
      <c r="M559" s="151"/>
      <c r="N559" s="151"/>
      <c r="O559" s="151"/>
      <c r="P559" s="151"/>
      <c r="Q559" s="151"/>
    </row>
    <row r="560" spans="1:17" ht="14.25" customHeight="1">
      <c r="A560" s="110">
        <v>693</v>
      </c>
      <c r="B560" s="110">
        <v>976</v>
      </c>
      <c r="C560" s="110" t="s">
        <v>798</v>
      </c>
      <c r="D560" s="75">
        <v>45497</v>
      </c>
      <c r="E560" s="110" t="s">
        <v>19</v>
      </c>
      <c r="F560" s="110" t="s">
        <v>799</v>
      </c>
      <c r="G560" s="123" t="s">
        <v>800</v>
      </c>
      <c r="H560" s="123" t="s">
        <v>101</v>
      </c>
      <c r="I560" s="123" t="s">
        <v>598</v>
      </c>
      <c r="J560" s="120" t="s">
        <v>34</v>
      </c>
      <c r="K560" s="110" t="s">
        <v>35</v>
      </c>
      <c r="L560" s="156"/>
      <c r="M560" s="151"/>
      <c r="N560" s="151"/>
      <c r="O560" s="151"/>
      <c r="P560" s="151"/>
      <c r="Q560" s="151"/>
    </row>
    <row r="561" spans="1:17" ht="14.25" customHeight="1">
      <c r="A561" s="110">
        <v>426</v>
      </c>
      <c r="B561" s="110">
        <v>618</v>
      </c>
      <c r="C561" s="110" t="s">
        <v>801</v>
      </c>
      <c r="D561" s="75">
        <v>45161</v>
      </c>
      <c r="E561" s="110" t="s">
        <v>25</v>
      </c>
      <c r="F561" s="110" t="s">
        <v>802</v>
      </c>
      <c r="G561" s="36" t="s">
        <v>803</v>
      </c>
      <c r="H561" s="36" t="s">
        <v>101</v>
      </c>
      <c r="I561" s="110" t="s">
        <v>688</v>
      </c>
      <c r="J561" s="85" t="s">
        <v>34</v>
      </c>
      <c r="K561" s="104" t="s">
        <v>35</v>
      </c>
      <c r="L561" s="156"/>
      <c r="M561" s="151"/>
      <c r="N561" s="151"/>
      <c r="O561" s="151"/>
      <c r="P561" s="151"/>
      <c r="Q561" s="151"/>
    </row>
    <row r="562" spans="1:17" ht="14.25" customHeight="1">
      <c r="A562" s="110">
        <v>426</v>
      </c>
      <c r="B562" s="110">
        <v>617</v>
      </c>
      <c r="C562" s="110" t="s">
        <v>801</v>
      </c>
      <c r="D562" s="75">
        <v>45161</v>
      </c>
      <c r="E562" s="110" t="s">
        <v>25</v>
      </c>
      <c r="F562" s="110" t="s">
        <v>103</v>
      </c>
      <c r="G562" s="36" t="s">
        <v>804</v>
      </c>
      <c r="H562" s="36" t="s">
        <v>101</v>
      </c>
      <c r="I562" s="110" t="s">
        <v>688</v>
      </c>
      <c r="J562" s="85" t="s">
        <v>34</v>
      </c>
      <c r="K562" s="110" t="s">
        <v>142</v>
      </c>
      <c r="L562" s="156"/>
      <c r="M562" s="151"/>
      <c r="N562" s="151"/>
      <c r="O562" s="151"/>
      <c r="P562" s="151"/>
      <c r="Q562" s="151"/>
    </row>
    <row r="563" spans="1:17" ht="14.25" customHeight="1">
      <c r="A563" s="110"/>
      <c r="B563" s="110"/>
      <c r="C563" s="110" t="s">
        <v>681</v>
      </c>
      <c r="D563" s="110"/>
      <c r="E563" s="110" t="s">
        <v>25</v>
      </c>
      <c r="F563" s="110" t="s">
        <v>805</v>
      </c>
      <c r="G563" s="110" t="s">
        <v>806</v>
      </c>
      <c r="H563" s="110"/>
      <c r="I563" s="110"/>
      <c r="J563" s="85" t="s">
        <v>34</v>
      </c>
      <c r="K563" s="110" t="s">
        <v>142</v>
      </c>
      <c r="L563" s="156"/>
      <c r="M563" s="151"/>
      <c r="N563" s="151"/>
      <c r="O563" s="151"/>
      <c r="P563" s="151"/>
      <c r="Q563" s="151"/>
    </row>
    <row r="564" spans="1:17" ht="14.25" customHeight="1">
      <c r="A564" s="110"/>
      <c r="B564" s="110"/>
      <c r="C564" s="110" t="s">
        <v>201</v>
      </c>
      <c r="D564" s="110"/>
      <c r="E564" s="110" t="s">
        <v>19</v>
      </c>
      <c r="F564" s="110" t="s">
        <v>807</v>
      </c>
      <c r="G564" s="110" t="s">
        <v>775</v>
      </c>
      <c r="H564" s="110"/>
      <c r="I564" s="110"/>
      <c r="J564" s="120" t="s">
        <v>34</v>
      </c>
      <c r="K564" s="141"/>
      <c r="L564" s="157"/>
      <c r="M564" s="158"/>
      <c r="N564" s="158"/>
      <c r="O564" s="158"/>
      <c r="P564" s="158"/>
      <c r="Q564" s="158"/>
    </row>
    <row r="565" spans="1:17" ht="14.25" customHeight="1">
      <c r="J565" s="7"/>
      <c r="M565" s="8"/>
    </row>
    <row r="566" spans="1:17" ht="14.25" customHeight="1">
      <c r="J566" s="7"/>
      <c r="M566" s="8"/>
    </row>
    <row r="567" spans="1:17" ht="14.25" customHeight="1">
      <c r="J567" s="7"/>
      <c r="M567" s="8"/>
    </row>
    <row r="568" spans="1:17" ht="14.25" customHeight="1">
      <c r="J568" s="7"/>
      <c r="M568" s="8"/>
    </row>
    <row r="569" spans="1:17" ht="14.25" customHeight="1">
      <c r="J569" s="7"/>
      <c r="M569" s="8"/>
    </row>
    <row r="570" spans="1:17" ht="14.25" customHeight="1">
      <c r="J570" s="7"/>
      <c r="M570" s="8"/>
    </row>
    <row r="571" spans="1:17" ht="14.25" customHeight="1">
      <c r="J571" s="7"/>
      <c r="M571" s="8"/>
    </row>
    <row r="572" spans="1:17" ht="14.25" customHeight="1">
      <c r="J572" s="7"/>
      <c r="M572" s="8"/>
    </row>
    <row r="573" spans="1:17" ht="14.25" customHeight="1">
      <c r="J573" s="7"/>
      <c r="M573" s="8"/>
    </row>
    <row r="574" spans="1:17" ht="14.25" customHeight="1">
      <c r="J574" s="7"/>
      <c r="M574" s="8"/>
    </row>
    <row r="575" spans="1:17" ht="14.25" customHeight="1">
      <c r="J575" s="7"/>
      <c r="M575" s="8"/>
    </row>
    <row r="576" spans="1:17" ht="14.25" customHeight="1">
      <c r="J576" s="7"/>
      <c r="M576" s="8"/>
    </row>
    <row r="577" spans="10:13" ht="14.25" customHeight="1">
      <c r="J577" s="7"/>
      <c r="M577" s="8"/>
    </row>
    <row r="578" spans="10:13" ht="14.25" customHeight="1">
      <c r="J578" s="7"/>
      <c r="M578" s="8"/>
    </row>
    <row r="579" spans="10:13" ht="14.25" customHeight="1">
      <c r="J579" s="7"/>
      <c r="M579" s="8"/>
    </row>
    <row r="580" spans="10:13" ht="14.25" customHeight="1">
      <c r="J580" s="7"/>
      <c r="M580" s="8"/>
    </row>
    <row r="581" spans="10:13" ht="14.25" customHeight="1">
      <c r="J581" s="7"/>
      <c r="M581" s="8"/>
    </row>
    <row r="582" spans="10:13" ht="14.25" customHeight="1">
      <c r="J582" s="7"/>
      <c r="M582" s="8"/>
    </row>
    <row r="583" spans="10:13" ht="14.25" customHeight="1">
      <c r="J583" s="7"/>
      <c r="M583" s="8"/>
    </row>
    <row r="584" spans="10:13" ht="14.25" customHeight="1">
      <c r="J584" s="7"/>
      <c r="M584" s="8"/>
    </row>
    <row r="585" spans="10:13" ht="14.25" customHeight="1">
      <c r="J585" s="7"/>
      <c r="M585" s="8"/>
    </row>
    <row r="586" spans="10:13" ht="14.25" customHeight="1">
      <c r="J586" s="7"/>
      <c r="M586" s="8"/>
    </row>
    <row r="587" spans="10:13" ht="14.25" customHeight="1">
      <c r="J587" s="7"/>
      <c r="M587" s="8"/>
    </row>
    <row r="588" spans="10:13" ht="14.25" customHeight="1">
      <c r="J588" s="7"/>
      <c r="M588" s="8"/>
    </row>
    <row r="589" spans="10:13" ht="14.25" customHeight="1">
      <c r="J589" s="7"/>
      <c r="M589" s="8"/>
    </row>
    <row r="590" spans="10:13" ht="14.25" customHeight="1">
      <c r="J590" s="7"/>
      <c r="M590" s="8"/>
    </row>
    <row r="591" spans="10:13" ht="14.25" customHeight="1">
      <c r="J591" s="7"/>
      <c r="M591" s="8"/>
    </row>
    <row r="592" spans="10:13" ht="14.25" customHeight="1">
      <c r="J592" s="7"/>
      <c r="M592" s="8"/>
    </row>
    <row r="593" spans="10:13" ht="14.25" customHeight="1">
      <c r="J593" s="7"/>
      <c r="M593" s="8"/>
    </row>
    <row r="594" spans="10:13" ht="14.25" customHeight="1">
      <c r="J594" s="7"/>
      <c r="M594" s="8"/>
    </row>
    <row r="595" spans="10:13" ht="14.25" customHeight="1">
      <c r="J595" s="7"/>
      <c r="M595" s="8"/>
    </row>
    <row r="596" spans="10:13" ht="14.25" customHeight="1">
      <c r="J596" s="7"/>
      <c r="M596" s="8"/>
    </row>
    <row r="597" spans="10:13" ht="14.25" customHeight="1">
      <c r="J597" s="7"/>
      <c r="M597" s="8"/>
    </row>
    <row r="598" spans="10:13" ht="14.25" customHeight="1">
      <c r="J598" s="7"/>
      <c r="M598" s="8"/>
    </row>
    <row r="599" spans="10:13" ht="14.25" customHeight="1">
      <c r="J599" s="7"/>
      <c r="M599" s="8"/>
    </row>
    <row r="600" spans="10:13" ht="14.25" customHeight="1">
      <c r="J600" s="7"/>
      <c r="M600" s="8"/>
    </row>
    <row r="601" spans="10:13" ht="14.25" customHeight="1">
      <c r="J601" s="7"/>
      <c r="M601" s="8"/>
    </row>
    <row r="602" spans="10:13" ht="14.25" customHeight="1">
      <c r="J602" s="7"/>
      <c r="M602" s="8"/>
    </row>
    <row r="603" spans="10:13" ht="14.25" customHeight="1">
      <c r="J603" s="7"/>
      <c r="M603" s="8"/>
    </row>
    <row r="604" spans="10:13" ht="14.25" customHeight="1">
      <c r="J604" s="7"/>
      <c r="M604" s="8"/>
    </row>
    <row r="605" spans="10:13" ht="14.25" customHeight="1">
      <c r="J605" s="7"/>
      <c r="M605" s="8"/>
    </row>
    <row r="606" spans="10:13" ht="14.25" customHeight="1">
      <c r="J606" s="7"/>
      <c r="M606" s="8"/>
    </row>
    <row r="607" spans="10:13" ht="14.25" customHeight="1">
      <c r="J607" s="7"/>
      <c r="M607" s="8"/>
    </row>
    <row r="608" spans="10:13" ht="14.25" customHeight="1">
      <c r="J608" s="7"/>
      <c r="M608" s="8"/>
    </row>
    <row r="609" spans="10:13" ht="14.25" customHeight="1">
      <c r="J609" s="7"/>
      <c r="M609" s="8"/>
    </row>
    <row r="610" spans="10:13" ht="14.25" customHeight="1">
      <c r="J610" s="7"/>
      <c r="M610" s="8"/>
    </row>
    <row r="611" spans="10:13" ht="14.25" customHeight="1">
      <c r="J611" s="7"/>
      <c r="M611" s="8"/>
    </row>
    <row r="612" spans="10:13" ht="14.25" customHeight="1">
      <c r="J612" s="7"/>
      <c r="M612" s="8"/>
    </row>
    <row r="613" spans="10:13" ht="14.25" customHeight="1">
      <c r="J613" s="7"/>
      <c r="M613" s="8"/>
    </row>
    <row r="614" spans="10:13" ht="14.25" customHeight="1">
      <c r="J614" s="7"/>
      <c r="M614" s="8"/>
    </row>
    <row r="615" spans="10:13" ht="14.25" customHeight="1">
      <c r="J615" s="7"/>
      <c r="M615" s="8"/>
    </row>
    <row r="616" spans="10:13" ht="14.25" customHeight="1">
      <c r="J616" s="7"/>
      <c r="M616" s="8"/>
    </row>
    <row r="617" spans="10:13" ht="14.25" customHeight="1">
      <c r="J617" s="7"/>
      <c r="M617" s="8"/>
    </row>
    <row r="618" spans="10:13" ht="14.25" customHeight="1">
      <c r="J618" s="7"/>
      <c r="M618" s="8"/>
    </row>
    <row r="619" spans="10:13" ht="14.25" customHeight="1">
      <c r="J619" s="7"/>
      <c r="M619" s="8"/>
    </row>
    <row r="620" spans="10:13" ht="14.25" customHeight="1">
      <c r="J620" s="7"/>
      <c r="M620" s="8"/>
    </row>
    <row r="621" spans="10:13" ht="14.25" customHeight="1">
      <c r="J621" s="7"/>
      <c r="M621" s="8"/>
    </row>
    <row r="622" spans="10:13" ht="14.25" customHeight="1">
      <c r="J622" s="7"/>
      <c r="M622" s="8"/>
    </row>
    <row r="623" spans="10:13" ht="14.25" customHeight="1">
      <c r="J623" s="7"/>
      <c r="M623" s="8"/>
    </row>
    <row r="624" spans="10:13" ht="14.25" customHeight="1">
      <c r="J624" s="7"/>
      <c r="M624" s="8"/>
    </row>
    <row r="625" spans="10:13" ht="14.25" customHeight="1">
      <c r="J625" s="7"/>
      <c r="M625" s="8"/>
    </row>
    <row r="626" spans="10:13" ht="14.25" customHeight="1">
      <c r="J626" s="7"/>
      <c r="M626" s="8"/>
    </row>
    <row r="627" spans="10:13" ht="14.25" customHeight="1">
      <c r="J627" s="7"/>
      <c r="M627" s="8"/>
    </row>
    <row r="628" spans="10:13" ht="14.25" customHeight="1">
      <c r="J628" s="7"/>
      <c r="M628" s="8"/>
    </row>
    <row r="629" spans="10:13" ht="14.25" customHeight="1">
      <c r="J629" s="7"/>
      <c r="M629" s="8"/>
    </row>
    <row r="630" spans="10:13" ht="14.25" customHeight="1">
      <c r="J630" s="7"/>
      <c r="M630" s="8"/>
    </row>
    <row r="631" spans="10:13" ht="14.25" customHeight="1">
      <c r="J631" s="7"/>
      <c r="M631" s="8"/>
    </row>
    <row r="632" spans="10:13" ht="14.25" customHeight="1">
      <c r="J632" s="7"/>
      <c r="M632" s="8"/>
    </row>
    <row r="633" spans="10:13" ht="14.25" customHeight="1">
      <c r="J633" s="7"/>
      <c r="M633" s="8"/>
    </row>
    <row r="634" spans="10:13" ht="14.25" customHeight="1">
      <c r="J634" s="7"/>
      <c r="M634" s="8"/>
    </row>
    <row r="635" spans="10:13" ht="14.25" customHeight="1">
      <c r="J635" s="7"/>
      <c r="M635" s="8"/>
    </row>
    <row r="636" spans="10:13" ht="15.75" customHeight="1"/>
    <row r="637" spans="10:13" ht="15.75" customHeight="1"/>
    <row r="638" spans="10:13" ht="15.75" customHeight="1"/>
    <row r="639" spans="10:13" ht="15.75" customHeight="1"/>
    <row r="640" spans="10:13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</sheetData>
  <autoFilter ref="A2:K564" xr:uid="{00000000-0009-0000-0000-000000000000}">
    <sortState xmlns:xlrd2="http://schemas.microsoft.com/office/spreadsheetml/2017/richdata2" ref="A3:K502">
      <sortCondition sortBy="cellColor" ref="J2:J491" dxfId="19"/>
    </sortState>
  </autoFilter>
  <mergeCells count="3">
    <mergeCell ref="A1:Q1"/>
    <mergeCell ref="K22:K26"/>
    <mergeCell ref="K46:K47"/>
  </mergeCells>
  <phoneticPr fontId="15" type="noConversion"/>
  <pageMargins left="0.7" right="0.7" top="0.75" bottom="0.75" header="0" footer="0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4FD0-8D3A-4026-9D14-FB1744CD255D}">
  <dimension ref="B2:M54"/>
  <sheetViews>
    <sheetView topLeftCell="A7" zoomScaleNormal="100" workbookViewId="0">
      <selection activeCell="B72" sqref="B72"/>
    </sheetView>
  </sheetViews>
  <sheetFormatPr baseColWidth="10" defaultRowHeight="15"/>
  <cols>
    <col min="2" max="2" width="22.7109375" customWidth="1"/>
    <col min="4" max="4" width="43.5703125" customWidth="1"/>
    <col min="5" max="5" width="22" customWidth="1"/>
    <col min="6" max="6" width="29.140625" customWidth="1"/>
    <col min="7" max="7" width="21.7109375" customWidth="1"/>
    <col min="8" max="8" width="35.85546875" customWidth="1"/>
    <col min="9" max="9" width="11.42578125" customWidth="1"/>
    <col min="10" max="10" width="17.85546875" customWidth="1"/>
    <col min="11" max="11" width="65.28515625" customWidth="1"/>
    <col min="12" max="12" width="63" customWidth="1"/>
    <col min="13" max="13" width="52" customWidth="1"/>
  </cols>
  <sheetData>
    <row r="2" spans="2:8" ht="15.75" thickBot="1"/>
    <row r="3" spans="2:8" ht="16.5" thickBot="1">
      <c r="B3" s="202" t="s">
        <v>1321</v>
      </c>
      <c r="C3" s="203"/>
      <c r="D3" s="204"/>
    </row>
    <row r="4" spans="2:8" ht="16.5" thickBot="1">
      <c r="B4" s="45" t="s">
        <v>1317</v>
      </c>
      <c r="C4" s="46" t="s">
        <v>1318</v>
      </c>
      <c r="D4" s="46" t="s">
        <v>1319</v>
      </c>
      <c r="H4" s="163" t="s">
        <v>1956</v>
      </c>
    </row>
    <row r="5" spans="2:8" ht="19.899999999999999" customHeight="1" thickBot="1">
      <c r="B5" s="42">
        <v>608747</v>
      </c>
      <c r="C5" s="43">
        <v>1</v>
      </c>
      <c r="D5" s="44" t="s">
        <v>1707</v>
      </c>
      <c r="H5" s="163" t="s">
        <v>1957</v>
      </c>
    </row>
    <row r="6" spans="2:8" ht="19.899999999999999" customHeight="1" thickBot="1">
      <c r="B6" s="42">
        <v>612650</v>
      </c>
      <c r="C6" s="43">
        <v>1</v>
      </c>
      <c r="D6" s="44" t="s">
        <v>1708</v>
      </c>
      <c r="H6" s="163" t="s">
        <v>1958</v>
      </c>
    </row>
    <row r="7" spans="2:8" ht="19.899999999999999" customHeight="1" thickBot="1">
      <c r="B7" s="42">
        <v>612562</v>
      </c>
      <c r="C7" s="43">
        <v>1</v>
      </c>
      <c r="D7" s="44" t="s">
        <v>1709</v>
      </c>
      <c r="F7" s="63" t="s">
        <v>1641</v>
      </c>
    </row>
    <row r="8" spans="2:8" ht="19.899999999999999" customHeight="1" thickBot="1">
      <c r="B8" s="42">
        <v>614254</v>
      </c>
      <c r="C8" s="43" t="s">
        <v>1320</v>
      </c>
      <c r="D8" s="44" t="s">
        <v>1710</v>
      </c>
    </row>
    <row r="9" spans="2:8" ht="19.899999999999999" customHeight="1" thickBot="1">
      <c r="B9" s="42" t="s">
        <v>70</v>
      </c>
      <c r="C9" s="65" t="s">
        <v>1711</v>
      </c>
      <c r="D9" s="44" t="s">
        <v>1712</v>
      </c>
    </row>
    <row r="10" spans="2:8" ht="19.899999999999999" customHeight="1" thickBot="1">
      <c r="B10" s="42"/>
      <c r="C10" s="43" t="s">
        <v>1713</v>
      </c>
      <c r="D10" s="44" t="s">
        <v>1714</v>
      </c>
    </row>
    <row r="11" spans="2:8" ht="19.899999999999999" customHeight="1" thickBot="1">
      <c r="B11" s="42"/>
      <c r="C11" s="43"/>
      <c r="D11" s="44"/>
    </row>
    <row r="12" spans="2:8" ht="33.6" customHeight="1" thickBot="1">
      <c r="B12" s="42"/>
      <c r="C12" s="43"/>
      <c r="D12" s="60"/>
      <c r="E12" s="208" t="s">
        <v>25</v>
      </c>
      <c r="F12" s="207" t="s">
        <v>1064</v>
      </c>
      <c r="G12" s="51" t="s">
        <v>1593</v>
      </c>
    </row>
    <row r="13" spans="2:8" ht="33" customHeight="1" thickBot="1">
      <c r="B13" s="42"/>
      <c r="C13" s="43"/>
      <c r="D13" s="60"/>
      <c r="E13" s="208"/>
      <c r="F13" s="207"/>
      <c r="G13" s="51" t="s">
        <v>1594</v>
      </c>
    </row>
    <row r="14" spans="2:8" ht="19.899999999999999" customHeight="1" thickBot="1">
      <c r="B14" s="42"/>
      <c r="C14" s="43"/>
      <c r="D14" s="44"/>
      <c r="E14" s="61"/>
      <c r="F14" s="62"/>
      <c r="G14" s="62"/>
    </row>
    <row r="15" spans="2:8" ht="19.899999999999999" customHeight="1" thickBot="1">
      <c r="B15" s="42"/>
      <c r="C15" s="43"/>
      <c r="D15" s="44"/>
      <c r="E15" s="59"/>
    </row>
    <row r="16" spans="2:8" ht="19.899999999999999" customHeight="1" thickBot="1">
      <c r="B16" s="42"/>
      <c r="C16" s="43"/>
      <c r="D16" s="44"/>
    </row>
    <row r="17" spans="2:8" ht="16.5" thickBot="1">
      <c r="B17" s="42"/>
      <c r="C17" s="43"/>
      <c r="D17" s="44"/>
    </row>
    <row r="19" spans="2:8">
      <c r="E19" s="208" t="s">
        <v>25</v>
      </c>
      <c r="F19" s="207" t="s">
        <v>1064</v>
      </c>
      <c r="G19" s="58" t="s">
        <v>1593</v>
      </c>
    </row>
    <row r="20" spans="2:8">
      <c r="E20" s="206"/>
      <c r="F20" s="207"/>
      <c r="G20" s="58" t="s">
        <v>937</v>
      </c>
    </row>
    <row r="21" spans="2:8">
      <c r="E21" s="206"/>
      <c r="F21" s="207"/>
      <c r="G21" s="58" t="s">
        <v>1594</v>
      </c>
    </row>
    <row r="22" spans="2:8">
      <c r="E22" s="206"/>
      <c r="F22" s="57" t="s">
        <v>1265</v>
      </c>
      <c r="G22" s="58" t="s">
        <v>1595</v>
      </c>
    </row>
    <row r="23" spans="2:8">
      <c r="E23" s="208" t="s">
        <v>19</v>
      </c>
      <c r="F23" s="58" t="s">
        <v>1596</v>
      </c>
      <c r="G23" s="58" t="s">
        <v>1597</v>
      </c>
    </row>
    <row r="24" spans="2:8">
      <c r="E24" s="208"/>
      <c r="F24" s="58" t="s">
        <v>1256</v>
      </c>
      <c r="G24" s="58" t="s">
        <v>1598</v>
      </c>
    </row>
    <row r="27" spans="2:8" ht="30">
      <c r="B27" s="50" t="s">
        <v>1535</v>
      </c>
      <c r="C27" s="51" t="s">
        <v>1536</v>
      </c>
      <c r="D27" s="52">
        <v>45849</v>
      </c>
      <c r="F27" s="205" t="s">
        <v>1402</v>
      </c>
      <c r="G27" s="48" t="s">
        <v>1472</v>
      </c>
    </row>
    <row r="28" spans="2:8" ht="30">
      <c r="B28" s="53" t="s">
        <v>1537</v>
      </c>
      <c r="C28" s="54" t="s">
        <v>1536</v>
      </c>
      <c r="D28" s="55">
        <v>45849</v>
      </c>
      <c r="F28" s="206"/>
      <c r="G28" s="48" t="s">
        <v>1404</v>
      </c>
    </row>
    <row r="29" spans="2:8" ht="30">
      <c r="B29" s="53" t="s">
        <v>1538</v>
      </c>
      <c r="C29" s="54">
        <v>2</v>
      </c>
      <c r="D29" s="55">
        <v>45853</v>
      </c>
    </row>
    <row r="30" spans="2:8">
      <c r="B30" s="53" t="s">
        <v>1539</v>
      </c>
      <c r="C30" s="54">
        <v>1</v>
      </c>
      <c r="D30" s="55">
        <v>45849</v>
      </c>
    </row>
    <row r="31" spans="2:8" ht="30">
      <c r="B31" s="53" t="s">
        <v>1540</v>
      </c>
      <c r="C31" s="54">
        <v>1</v>
      </c>
      <c r="D31" s="56" t="s">
        <v>826</v>
      </c>
      <c r="F31" s="67" t="s">
        <v>1817</v>
      </c>
      <c r="G31" s="67" t="s">
        <v>1823</v>
      </c>
      <c r="H31" s="67"/>
    </row>
    <row r="32" spans="2:8" ht="30">
      <c r="B32" s="53" t="s">
        <v>1541</v>
      </c>
      <c r="C32" s="54">
        <v>1</v>
      </c>
      <c r="D32" s="56" t="s">
        <v>826</v>
      </c>
      <c r="F32" s="68" t="s">
        <v>1818</v>
      </c>
      <c r="G32" s="68">
        <v>67506144</v>
      </c>
    </row>
    <row r="33" spans="2:13" ht="30">
      <c r="B33" s="53" t="s">
        <v>1542</v>
      </c>
      <c r="C33" s="54"/>
      <c r="D33" s="56"/>
      <c r="F33" s="67" t="s">
        <v>1819</v>
      </c>
      <c r="G33" s="67" t="s">
        <v>1824</v>
      </c>
    </row>
    <row r="34" spans="2:13" ht="30" customHeight="1">
      <c r="B34" s="53" t="s">
        <v>1543</v>
      </c>
      <c r="C34" s="54">
        <v>1</v>
      </c>
      <c r="D34" s="56" t="s">
        <v>826</v>
      </c>
      <c r="F34" s="68" t="s">
        <v>1820</v>
      </c>
      <c r="G34" s="68">
        <v>10061037</v>
      </c>
    </row>
    <row r="35" spans="2:13" ht="28.5" customHeight="1">
      <c r="F35" s="67" t="s">
        <v>1821</v>
      </c>
      <c r="G35" s="67">
        <v>306124076</v>
      </c>
    </row>
    <row r="40" spans="2:13">
      <c r="F40" s="175" t="s">
        <v>1761</v>
      </c>
      <c r="G40" s="176" t="s">
        <v>2013</v>
      </c>
    </row>
    <row r="41" spans="2:13">
      <c r="F41" s="177" t="s">
        <v>1256</v>
      </c>
      <c r="G41" s="177" t="s">
        <v>2072</v>
      </c>
      <c r="H41" s="145"/>
      <c r="J41" t="s">
        <v>1896</v>
      </c>
      <c r="K41" s="145" t="s">
        <v>1897</v>
      </c>
      <c r="L41" s="145" t="s">
        <v>1898</v>
      </c>
      <c r="M41" s="145" t="s">
        <v>1899</v>
      </c>
    </row>
    <row r="45" spans="2:13">
      <c r="F45" s="149" t="s">
        <v>5</v>
      </c>
      <c r="G45" s="149" t="s">
        <v>1909</v>
      </c>
      <c r="H45" s="149" t="s">
        <v>1910</v>
      </c>
    </row>
    <row r="46" spans="2:13" ht="45.75" customHeight="1">
      <c r="F46" s="34" t="s">
        <v>1942</v>
      </c>
      <c r="G46" s="34" t="s">
        <v>1946</v>
      </c>
      <c r="H46" s="150" t="s">
        <v>13</v>
      </c>
    </row>
    <row r="47" spans="2:13" ht="24" customHeight="1">
      <c r="F47" s="34" t="s">
        <v>1942</v>
      </c>
      <c r="G47" s="34" t="s">
        <v>1945</v>
      </c>
      <c r="H47" s="150" t="s">
        <v>13</v>
      </c>
    </row>
    <row r="48" spans="2:13" ht="39.75" customHeight="1">
      <c r="F48" s="34" t="s">
        <v>1942</v>
      </c>
      <c r="G48" s="34" t="s">
        <v>1944</v>
      </c>
      <c r="H48" s="150" t="s">
        <v>1955</v>
      </c>
    </row>
    <row r="49" spans="6:13" ht="36" customHeight="1">
      <c r="F49" s="34" t="s">
        <v>1942</v>
      </c>
      <c r="G49" s="34" t="s">
        <v>1943</v>
      </c>
      <c r="H49" s="150" t="s">
        <v>13</v>
      </c>
      <c r="J49" s="146" t="s">
        <v>1896</v>
      </c>
      <c r="K49" s="146" t="s">
        <v>1900</v>
      </c>
      <c r="L49" s="146" t="s">
        <v>1898</v>
      </c>
      <c r="M49" s="146" t="s">
        <v>1899</v>
      </c>
    </row>
    <row r="50" spans="6:13">
      <c r="J50" s="144">
        <v>245096</v>
      </c>
      <c r="K50" s="144" t="s">
        <v>1901</v>
      </c>
      <c r="L50" s="144" t="s">
        <v>1903</v>
      </c>
      <c r="M50" s="147" t="s">
        <v>1906</v>
      </c>
    </row>
    <row r="51" spans="6:13">
      <c r="J51" s="144">
        <v>245097</v>
      </c>
      <c r="K51" s="144" t="s">
        <v>1902</v>
      </c>
      <c r="L51" s="144" t="s">
        <v>1904</v>
      </c>
      <c r="M51" s="147" t="s">
        <v>1905</v>
      </c>
    </row>
    <row r="54" spans="6:13">
      <c r="L54" t="s">
        <v>1907</v>
      </c>
    </row>
  </sheetData>
  <mergeCells count="7">
    <mergeCell ref="B3:D3"/>
    <mergeCell ref="F27:F28"/>
    <mergeCell ref="F19:F21"/>
    <mergeCell ref="E19:E22"/>
    <mergeCell ref="E23:E24"/>
    <mergeCell ref="E12:E13"/>
    <mergeCell ref="F12:F13"/>
  </mergeCells>
  <hyperlinks>
    <hyperlink ref="M51" r:id="rId1" xr:uid="{4DE22206-A561-48BB-90FC-FF851848062A}"/>
    <hyperlink ref="M50" r:id="rId2" xr:uid="{C0619F90-871F-4056-8D4D-ED4EEDFEF619}"/>
  </hyperlinks>
  <pageMargins left="0.7" right="0.7" top="0.75" bottom="0.75" header="0.3" footer="0.3"/>
  <pageSetup paperSize="9" orientation="portrait" horizontalDpi="0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000"/>
  <sheetViews>
    <sheetView workbookViewId="0">
      <selection activeCell="M11" sqref="M11"/>
    </sheetView>
  </sheetViews>
  <sheetFormatPr baseColWidth="10" defaultColWidth="14.42578125" defaultRowHeight="15" customHeight="1"/>
  <cols>
    <col min="1" max="1" width="10.7109375" customWidth="1"/>
    <col min="2" max="2" width="18.7109375" customWidth="1"/>
    <col min="3" max="3" width="29.5703125" customWidth="1"/>
    <col min="4" max="4" width="10.7109375" customWidth="1"/>
    <col min="5" max="5" width="5.28515625" customWidth="1"/>
    <col min="6" max="6" width="22.85546875" customWidth="1"/>
    <col min="7" max="7" width="20.5703125" customWidth="1"/>
    <col min="8" max="8" width="22.7109375" customWidth="1"/>
    <col min="9" max="26" width="10.7109375" customWidth="1"/>
  </cols>
  <sheetData>
    <row r="1" spans="2:8" ht="14.25" customHeight="1"/>
    <row r="2" spans="2:8" ht="17.25" customHeight="1">
      <c r="B2" s="12" t="s">
        <v>808</v>
      </c>
      <c r="C2" s="13" t="s">
        <v>809</v>
      </c>
      <c r="F2" s="174" t="s">
        <v>2041</v>
      </c>
      <c r="G2" s="174" t="s">
        <v>16</v>
      </c>
    </row>
    <row r="3" spans="2:8" ht="18" customHeight="1">
      <c r="B3" s="209" t="s">
        <v>16</v>
      </c>
      <c r="C3" s="39" t="s">
        <v>17</v>
      </c>
      <c r="F3" s="153"/>
      <c r="G3" s="172"/>
      <c r="H3" s="174" t="s">
        <v>2017</v>
      </c>
    </row>
    <row r="4" spans="2:8" ht="17.25" customHeight="1">
      <c r="B4" s="210"/>
      <c r="C4" s="15" t="s">
        <v>810</v>
      </c>
      <c r="F4" s="173"/>
      <c r="G4" s="171"/>
      <c r="H4" s="174" t="s">
        <v>2016</v>
      </c>
    </row>
    <row r="5" spans="2:8" ht="14.25" customHeight="1">
      <c r="B5" s="210"/>
      <c r="C5" s="15" t="s">
        <v>811</v>
      </c>
    </row>
    <row r="6" spans="2:8" ht="14.25" customHeight="1">
      <c r="B6" s="210"/>
      <c r="C6" s="16" t="s">
        <v>812</v>
      </c>
    </row>
    <row r="7" spans="2:8" ht="14.25" customHeight="1">
      <c r="B7" s="210"/>
      <c r="C7" s="16" t="s">
        <v>813</v>
      </c>
    </row>
    <row r="8" spans="2:8" ht="14.25" customHeight="1">
      <c r="B8" s="210"/>
      <c r="C8" s="16" t="s">
        <v>235</v>
      </c>
    </row>
    <row r="9" spans="2:8" ht="14.25" customHeight="1">
      <c r="B9" s="210"/>
      <c r="C9" s="16" t="s">
        <v>814</v>
      </c>
    </row>
    <row r="10" spans="2:8" ht="14.25" customHeight="1">
      <c r="B10" s="210"/>
      <c r="C10" s="15"/>
    </row>
    <row r="11" spans="2:8" ht="14.25" customHeight="1">
      <c r="B11" s="211"/>
      <c r="C11" s="17"/>
    </row>
    <row r="12" spans="2:8" ht="14.25" customHeight="1">
      <c r="B12" s="212" t="s">
        <v>50</v>
      </c>
    </row>
    <row r="13" spans="2:8" ht="14.25" customHeight="1">
      <c r="B13" s="210"/>
      <c r="C13" s="15" t="s">
        <v>51</v>
      </c>
    </row>
    <row r="14" spans="2:8" ht="14.25" customHeight="1">
      <c r="B14" s="210"/>
      <c r="C14" s="15" t="s">
        <v>209</v>
      </c>
    </row>
    <row r="15" spans="2:8" ht="14.25" customHeight="1">
      <c r="B15" s="210"/>
      <c r="C15" s="15" t="s">
        <v>815</v>
      </c>
    </row>
    <row r="16" spans="2:8" ht="14.25" customHeight="1">
      <c r="B16" s="210"/>
      <c r="C16" s="15" t="s">
        <v>816</v>
      </c>
    </row>
    <row r="17" spans="2:3" ht="14.25" customHeight="1">
      <c r="B17" s="213"/>
      <c r="C17" s="18"/>
    </row>
    <row r="18" spans="2:3" ht="14.25" customHeight="1">
      <c r="B18" s="214" t="s">
        <v>96</v>
      </c>
      <c r="C18" s="9" t="s">
        <v>17</v>
      </c>
    </row>
    <row r="19" spans="2:3" ht="14.25" customHeight="1">
      <c r="B19" s="210"/>
      <c r="C19" s="15" t="s">
        <v>812</v>
      </c>
    </row>
    <row r="20" spans="2:3" ht="14.25" customHeight="1">
      <c r="B20" s="210"/>
      <c r="C20" s="15" t="s">
        <v>813</v>
      </c>
    </row>
    <row r="21" spans="2:3" ht="14.25" customHeight="1">
      <c r="B21" s="210"/>
      <c r="C21" s="15" t="s">
        <v>235</v>
      </c>
    </row>
    <row r="22" spans="2:3" ht="14.25" customHeight="1">
      <c r="B22" s="210"/>
      <c r="C22" s="15" t="s">
        <v>814</v>
      </c>
    </row>
    <row r="23" spans="2:3" ht="14.25" customHeight="1">
      <c r="B23" s="210"/>
      <c r="C23" s="15" t="s">
        <v>817</v>
      </c>
    </row>
    <row r="24" spans="2:3" ht="14.25" customHeight="1">
      <c r="B24" s="210"/>
      <c r="C24" s="15" t="s">
        <v>818</v>
      </c>
    </row>
    <row r="25" spans="2:3" ht="14.25" customHeight="1">
      <c r="B25" s="210"/>
      <c r="C25" s="15" t="s">
        <v>819</v>
      </c>
    </row>
    <row r="26" spans="2:3" ht="14.25" customHeight="1">
      <c r="B26" s="210"/>
      <c r="C26" s="19"/>
    </row>
    <row r="27" spans="2:3" ht="14.25" customHeight="1">
      <c r="B27" s="210"/>
      <c r="C27" s="15"/>
    </row>
    <row r="28" spans="2:3" ht="14.25" customHeight="1">
      <c r="B28" s="213"/>
      <c r="C28" s="20"/>
    </row>
    <row r="29" spans="2:3" ht="14.25" customHeight="1">
      <c r="B29" s="215" t="s">
        <v>34</v>
      </c>
      <c r="C29" s="14" t="s">
        <v>820</v>
      </c>
    </row>
    <row r="30" spans="2:3" ht="14.25" customHeight="1">
      <c r="B30" s="210"/>
      <c r="C30" s="15" t="s">
        <v>821</v>
      </c>
    </row>
    <row r="31" spans="2:3" ht="14.25" customHeight="1">
      <c r="B31" s="210"/>
      <c r="C31" s="15" t="s">
        <v>769</v>
      </c>
    </row>
    <row r="32" spans="2:3" ht="14.25" customHeight="1">
      <c r="B32" s="210"/>
      <c r="C32" s="15" t="s">
        <v>822</v>
      </c>
    </row>
    <row r="33" spans="2:3" ht="14.25" customHeight="1">
      <c r="B33" s="210"/>
      <c r="C33" s="15" t="s">
        <v>823</v>
      </c>
    </row>
    <row r="34" spans="2:3" ht="14.25" customHeight="1">
      <c r="B34" s="210"/>
      <c r="C34" s="15"/>
    </row>
    <row r="35" spans="2:3" ht="14.25" customHeight="1">
      <c r="B35" s="210"/>
      <c r="C35" s="15"/>
    </row>
    <row r="36" spans="2:3" ht="14.25" customHeight="1">
      <c r="B36" s="213"/>
      <c r="C36" s="18"/>
    </row>
    <row r="37" spans="2:3" ht="14.25" customHeight="1"/>
    <row r="38" spans="2:3" ht="14.25" customHeight="1"/>
    <row r="39" spans="2:3" ht="14.25" customHeight="1"/>
    <row r="40" spans="2:3" ht="14.25" customHeight="1"/>
    <row r="41" spans="2:3" ht="14.25" customHeight="1"/>
    <row r="42" spans="2:3" ht="14.25" customHeight="1"/>
    <row r="43" spans="2:3" ht="14.25" customHeight="1"/>
    <row r="44" spans="2:3" ht="14.25" customHeight="1"/>
    <row r="45" spans="2:3" ht="14.25" customHeight="1"/>
    <row r="46" spans="2:3" ht="14.25" customHeight="1"/>
    <row r="47" spans="2:3" ht="14.25" customHeight="1"/>
    <row r="48" spans="2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B11"/>
    <mergeCell ref="B12:B17"/>
    <mergeCell ref="B18:B28"/>
    <mergeCell ref="B29:B36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B11" sqref="B11"/>
    </sheetView>
  </sheetViews>
  <sheetFormatPr baseColWidth="10" defaultColWidth="14.42578125" defaultRowHeight="15" customHeight="1"/>
  <cols>
    <col min="1" max="1" width="12.7109375" customWidth="1"/>
    <col min="2" max="2" width="8.5703125" customWidth="1"/>
    <col min="3" max="3" width="5.28515625" customWidth="1"/>
    <col min="4" max="4" width="36.28515625" customWidth="1"/>
    <col min="5" max="5" width="8.140625" customWidth="1"/>
    <col min="6" max="6" width="16.7109375" customWidth="1"/>
    <col min="7" max="7" width="12.85546875" customWidth="1"/>
    <col min="8" max="8" width="10.7109375" customWidth="1"/>
    <col min="9" max="9" width="38.42578125" customWidth="1"/>
    <col min="10" max="10" width="60" customWidth="1"/>
    <col min="11" max="11" width="80.140625" customWidth="1"/>
    <col min="12" max="26" width="10.7109375" customWidth="1"/>
  </cols>
  <sheetData>
    <row r="1" spans="1:11" ht="14.25" customHeight="1">
      <c r="A1" s="216" t="s">
        <v>827</v>
      </c>
      <c r="B1" s="217"/>
      <c r="C1" s="217"/>
      <c r="D1" s="217"/>
      <c r="E1" s="217"/>
      <c r="F1" s="217"/>
      <c r="G1" s="217"/>
      <c r="H1" s="217"/>
      <c r="I1" s="217"/>
      <c r="J1" s="217"/>
      <c r="K1" s="218"/>
    </row>
    <row r="2" spans="1:11" ht="14.25" customHeight="1">
      <c r="A2" s="21" t="s">
        <v>828</v>
      </c>
      <c r="B2" s="21" t="s">
        <v>829</v>
      </c>
      <c r="C2" s="21" t="s">
        <v>0</v>
      </c>
      <c r="D2" s="21" t="s">
        <v>830</v>
      </c>
      <c r="E2" s="21" t="s">
        <v>4</v>
      </c>
      <c r="F2" s="21" t="s">
        <v>831</v>
      </c>
      <c r="G2" s="21" t="s">
        <v>832</v>
      </c>
      <c r="H2" s="21" t="s">
        <v>8</v>
      </c>
      <c r="I2" s="21" t="s">
        <v>833</v>
      </c>
      <c r="J2" s="21" t="s">
        <v>834</v>
      </c>
      <c r="K2" s="22" t="s">
        <v>835</v>
      </c>
    </row>
    <row r="3" spans="1:11" ht="14.25" customHeight="1">
      <c r="A3" s="23">
        <v>45014</v>
      </c>
      <c r="B3" s="24" t="s">
        <v>836</v>
      </c>
      <c r="C3" s="25" t="s">
        <v>837</v>
      </c>
      <c r="D3" s="25" t="s">
        <v>838</v>
      </c>
      <c r="E3" s="25" t="s">
        <v>19</v>
      </c>
      <c r="F3" s="25" t="s">
        <v>211</v>
      </c>
      <c r="G3" s="25" t="s">
        <v>839</v>
      </c>
      <c r="H3" s="25" t="s">
        <v>840</v>
      </c>
      <c r="I3" s="25" t="s">
        <v>841</v>
      </c>
      <c r="J3" s="25" t="s">
        <v>842</v>
      </c>
      <c r="K3" s="11"/>
    </row>
    <row r="4" spans="1:11" ht="14.25" customHeight="1">
      <c r="A4" s="26">
        <v>45014</v>
      </c>
      <c r="B4" s="24" t="s">
        <v>843</v>
      </c>
      <c r="C4" s="25" t="s">
        <v>844</v>
      </c>
      <c r="D4" s="25" t="s">
        <v>838</v>
      </c>
      <c r="E4" s="25" t="s">
        <v>563</v>
      </c>
      <c r="F4" s="25" t="s">
        <v>845</v>
      </c>
      <c r="G4" s="27" t="s">
        <v>846</v>
      </c>
      <c r="H4" s="25" t="s">
        <v>840</v>
      </c>
      <c r="I4" s="28" t="s">
        <v>847</v>
      </c>
      <c r="J4" s="25" t="s">
        <v>848</v>
      </c>
      <c r="K4" s="11"/>
    </row>
    <row r="5" spans="1:11" ht="14.25" customHeight="1">
      <c r="A5" s="23">
        <v>45028</v>
      </c>
      <c r="B5" s="24" t="s">
        <v>849</v>
      </c>
      <c r="C5" s="10">
        <v>340</v>
      </c>
      <c r="D5" s="25" t="s">
        <v>850</v>
      </c>
      <c r="E5" s="25" t="s">
        <v>851</v>
      </c>
      <c r="F5" s="25" t="s">
        <v>852</v>
      </c>
      <c r="G5" s="29">
        <v>3313212167</v>
      </c>
      <c r="H5" s="25" t="s">
        <v>840</v>
      </c>
      <c r="I5" s="25" t="s">
        <v>853</v>
      </c>
      <c r="J5" s="25" t="s">
        <v>854</v>
      </c>
      <c r="K5" s="11"/>
    </row>
    <row r="6" spans="1:11" ht="14.25" customHeight="1">
      <c r="A6" s="23">
        <v>45014</v>
      </c>
      <c r="B6" s="24" t="s">
        <v>855</v>
      </c>
      <c r="C6" s="10" t="s">
        <v>856</v>
      </c>
      <c r="D6" s="25" t="s">
        <v>838</v>
      </c>
      <c r="E6" s="25" t="s">
        <v>19</v>
      </c>
      <c r="F6" s="25" t="s">
        <v>845</v>
      </c>
      <c r="G6" s="25" t="s">
        <v>857</v>
      </c>
      <c r="H6" s="25" t="s">
        <v>241</v>
      </c>
      <c r="I6" s="25" t="s">
        <v>858</v>
      </c>
      <c r="J6" s="28" t="s">
        <v>859</v>
      </c>
      <c r="K6" s="25" t="s">
        <v>860</v>
      </c>
    </row>
    <row r="7" spans="1:11" ht="14.25" customHeight="1">
      <c r="A7" s="11"/>
      <c r="B7" s="24"/>
      <c r="C7" s="10">
        <v>153</v>
      </c>
      <c r="D7" s="25"/>
      <c r="E7" s="25" t="s">
        <v>861</v>
      </c>
      <c r="F7" s="25" t="s">
        <v>862</v>
      </c>
      <c r="G7" s="25" t="s">
        <v>863</v>
      </c>
      <c r="H7" s="25" t="s">
        <v>840</v>
      </c>
      <c r="I7" s="25" t="s">
        <v>864</v>
      </c>
      <c r="J7" s="25" t="s">
        <v>865</v>
      </c>
      <c r="K7" s="11"/>
    </row>
    <row r="8" spans="1:11" ht="14.25" customHeight="1">
      <c r="A8" s="11"/>
      <c r="B8" s="24"/>
      <c r="C8" s="10"/>
      <c r="D8" s="25"/>
      <c r="E8" s="25"/>
      <c r="F8" s="25"/>
      <c r="G8" s="25" t="s">
        <v>866</v>
      </c>
      <c r="H8" s="25"/>
      <c r="I8" s="25" t="s">
        <v>864</v>
      </c>
      <c r="J8" s="25"/>
      <c r="K8" s="11"/>
    </row>
    <row r="9" spans="1:11" ht="14.25" customHeight="1">
      <c r="A9" s="11"/>
      <c r="B9" s="24"/>
      <c r="C9" s="10"/>
      <c r="D9" s="25"/>
      <c r="E9" s="25"/>
      <c r="F9" s="25"/>
      <c r="G9" s="25" t="s">
        <v>867</v>
      </c>
      <c r="H9" s="25" t="s">
        <v>840</v>
      </c>
      <c r="I9" s="25" t="s">
        <v>864</v>
      </c>
      <c r="J9" s="28" t="s">
        <v>868</v>
      </c>
      <c r="K9" s="30"/>
    </row>
    <row r="10" spans="1:11" ht="14.25" customHeight="1">
      <c r="A10" s="11"/>
      <c r="B10" s="24"/>
      <c r="C10" s="10">
        <v>157</v>
      </c>
      <c r="D10" s="25"/>
      <c r="E10" s="25" t="s">
        <v>869</v>
      </c>
      <c r="F10" s="25" t="s">
        <v>643</v>
      </c>
      <c r="G10" s="10">
        <v>31812108372</v>
      </c>
      <c r="H10" s="25" t="s">
        <v>840</v>
      </c>
      <c r="I10" s="25" t="s">
        <v>864</v>
      </c>
      <c r="J10" s="25" t="s">
        <v>870</v>
      </c>
      <c r="K10" s="25" t="s">
        <v>871</v>
      </c>
    </row>
    <row r="11" spans="1:11" ht="14.25" customHeight="1">
      <c r="A11" s="11"/>
      <c r="B11" s="24"/>
      <c r="C11" s="10">
        <v>137</v>
      </c>
      <c r="D11" s="25"/>
      <c r="E11" s="25" t="s">
        <v>869</v>
      </c>
      <c r="F11" s="25" t="s">
        <v>643</v>
      </c>
      <c r="G11" s="10">
        <v>31812108395</v>
      </c>
      <c r="H11" s="25" t="s">
        <v>840</v>
      </c>
      <c r="I11" s="25" t="s">
        <v>864</v>
      </c>
      <c r="J11" s="25" t="s">
        <v>872</v>
      </c>
      <c r="K11" s="25" t="s">
        <v>873</v>
      </c>
    </row>
    <row r="12" spans="1:11" ht="14.25" customHeight="1">
      <c r="A12" s="11"/>
      <c r="B12" s="24"/>
      <c r="C12" s="10" t="s">
        <v>197</v>
      </c>
      <c r="D12" s="7"/>
      <c r="E12" s="25" t="s">
        <v>869</v>
      </c>
      <c r="F12" s="25" t="s">
        <v>874</v>
      </c>
      <c r="G12" s="10">
        <v>31812108360</v>
      </c>
      <c r="H12" s="25" t="s">
        <v>840</v>
      </c>
      <c r="I12" s="25" t="s">
        <v>864</v>
      </c>
      <c r="J12" s="25" t="s">
        <v>875</v>
      </c>
      <c r="K12" s="25" t="s">
        <v>876</v>
      </c>
    </row>
    <row r="13" spans="1:11" ht="14.25" customHeight="1">
      <c r="A13" s="11"/>
      <c r="B13" s="24"/>
      <c r="C13" s="10" t="s">
        <v>197</v>
      </c>
      <c r="D13" s="25"/>
      <c r="E13" s="25" t="s">
        <v>25</v>
      </c>
      <c r="F13" s="25" t="s">
        <v>877</v>
      </c>
      <c r="G13" s="25" t="s">
        <v>878</v>
      </c>
      <c r="H13" s="25" t="s">
        <v>879</v>
      </c>
      <c r="I13" s="25"/>
      <c r="J13" s="25" t="s">
        <v>875</v>
      </c>
      <c r="K13" s="25" t="s">
        <v>880</v>
      </c>
    </row>
    <row r="14" spans="1:11" ht="14.25" customHeight="1">
      <c r="A14" s="31">
        <v>45236</v>
      </c>
      <c r="B14" s="32">
        <v>49</v>
      </c>
      <c r="C14" s="33" t="s">
        <v>197</v>
      </c>
      <c r="D14" s="33" t="s">
        <v>881</v>
      </c>
      <c r="E14" s="33" t="s">
        <v>25</v>
      </c>
      <c r="F14" s="33" t="s">
        <v>882</v>
      </c>
      <c r="G14" s="33" t="s">
        <v>883</v>
      </c>
      <c r="H14" s="33" t="s">
        <v>840</v>
      </c>
      <c r="I14" s="33" t="s">
        <v>884</v>
      </c>
      <c r="J14" s="33" t="s">
        <v>875</v>
      </c>
      <c r="K14" s="33" t="s">
        <v>885</v>
      </c>
    </row>
    <row r="15" spans="1:11" ht="14.25" customHeight="1">
      <c r="A15" s="11"/>
      <c r="B15" s="24"/>
      <c r="C15" s="25"/>
      <c r="D15" s="25"/>
      <c r="E15" s="25"/>
      <c r="F15" s="25"/>
      <c r="G15" s="25"/>
      <c r="H15" s="25"/>
      <c r="I15" s="25"/>
      <c r="J15" s="25"/>
      <c r="K15" s="11"/>
    </row>
    <row r="16" spans="1:11" ht="14.25" customHeight="1">
      <c r="A16" s="11"/>
      <c r="B16" s="24"/>
      <c r="C16" s="25"/>
      <c r="D16" s="25"/>
      <c r="E16" s="25"/>
      <c r="F16" s="25"/>
      <c r="G16" s="25"/>
      <c r="H16" s="25"/>
      <c r="I16" s="25"/>
      <c r="J16" s="25"/>
      <c r="K16" s="11"/>
    </row>
    <row r="17" spans="1:11" ht="14.25" customHeight="1">
      <c r="A17" s="11"/>
      <c r="B17" s="24"/>
      <c r="C17" s="25"/>
      <c r="D17" s="25"/>
      <c r="E17" s="25"/>
      <c r="F17" s="25"/>
      <c r="G17" s="25"/>
      <c r="H17" s="25"/>
      <c r="I17" s="25"/>
      <c r="J17" s="25"/>
      <c r="K17" s="11"/>
    </row>
    <row r="18" spans="1:11" ht="14.25" customHeight="1">
      <c r="A18" s="11"/>
      <c r="B18" s="24"/>
      <c r="C18" s="25"/>
      <c r="D18" s="25"/>
      <c r="E18" s="25"/>
      <c r="F18" s="25"/>
      <c r="G18" s="25"/>
      <c r="H18" s="25"/>
      <c r="I18" s="25"/>
      <c r="J18" s="25"/>
      <c r="K18" s="11"/>
    </row>
    <row r="19" spans="1:11" ht="14.25" customHeight="1">
      <c r="A19" s="11"/>
      <c r="B19" s="24"/>
      <c r="C19" s="25"/>
      <c r="D19" s="25"/>
      <c r="E19" s="25"/>
      <c r="F19" s="25"/>
      <c r="G19" s="25"/>
      <c r="H19" s="25"/>
      <c r="I19" s="25"/>
      <c r="J19" s="25"/>
      <c r="K19" s="11"/>
    </row>
    <row r="20" spans="1:11" ht="14.25" customHeight="1">
      <c r="A20" s="11"/>
      <c r="B20" s="24"/>
      <c r="C20" s="25"/>
      <c r="D20" s="25"/>
      <c r="E20" s="25"/>
      <c r="F20" s="25"/>
      <c r="G20" s="25"/>
      <c r="H20" s="25"/>
      <c r="I20" s="25"/>
      <c r="J20" s="25"/>
      <c r="K20" s="11"/>
    </row>
    <row r="21" spans="1:11" ht="14.25" customHeight="1"/>
    <row r="22" spans="1:11" ht="14.25" customHeight="1"/>
    <row r="23" spans="1:11" ht="14.25" customHeight="1"/>
    <row r="24" spans="1:11" ht="14.25" customHeight="1"/>
    <row r="25" spans="1:11" ht="14.25" customHeight="1"/>
    <row r="26" spans="1:11" ht="14.25" customHeight="1"/>
    <row r="27" spans="1:11" ht="14.25" customHeight="1"/>
    <row r="28" spans="1:11" ht="14.25" customHeight="1"/>
    <row r="29" spans="1:11" ht="14.25" customHeight="1"/>
    <row r="30" spans="1:11" ht="14.25" customHeight="1"/>
    <row r="31" spans="1:11" ht="14.25" customHeight="1"/>
    <row r="32" spans="1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K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1962-85B1-4F4F-B522-2E39A4869FD0}">
  <dimension ref="A2:J38"/>
  <sheetViews>
    <sheetView workbookViewId="0">
      <selection activeCell="E38" sqref="E38"/>
    </sheetView>
  </sheetViews>
  <sheetFormatPr baseColWidth="10" defaultRowHeight="15"/>
  <cols>
    <col min="1" max="1" width="8.42578125" customWidth="1"/>
    <col min="2" max="2" width="34.85546875" customWidth="1"/>
    <col min="3" max="3" width="22.140625" customWidth="1"/>
    <col min="4" max="4" width="30.28515625" customWidth="1"/>
    <col min="5" max="5" width="54.5703125" customWidth="1"/>
    <col min="6" max="6" width="27" customWidth="1"/>
  </cols>
  <sheetData>
    <row r="2" spans="1:6">
      <c r="A2" s="164" t="s">
        <v>1962</v>
      </c>
      <c r="B2" s="164" t="s">
        <v>831</v>
      </c>
      <c r="C2" s="164" t="s">
        <v>1963</v>
      </c>
      <c r="D2" s="164" t="s">
        <v>9</v>
      </c>
      <c r="E2" s="164" t="s">
        <v>1964</v>
      </c>
      <c r="F2" s="164" t="s">
        <v>1910</v>
      </c>
    </row>
    <row r="3" spans="1:6">
      <c r="A3" s="167">
        <v>1</v>
      </c>
      <c r="B3" s="151" t="s">
        <v>991</v>
      </c>
      <c r="C3" s="151" t="s">
        <v>1965</v>
      </c>
      <c r="D3" s="151" t="s">
        <v>1966</v>
      </c>
      <c r="E3" s="151" t="s">
        <v>1967</v>
      </c>
      <c r="F3" s="165" t="s">
        <v>1967</v>
      </c>
    </row>
    <row r="4" spans="1:6">
      <c r="A4" s="156">
        <v>2</v>
      </c>
      <c r="B4" s="151" t="s">
        <v>1968</v>
      </c>
      <c r="C4" s="151" t="s">
        <v>1969</v>
      </c>
      <c r="D4" s="151" t="s">
        <v>1970</v>
      </c>
      <c r="E4" s="151" t="s">
        <v>1971</v>
      </c>
      <c r="F4" s="165" t="s">
        <v>1972</v>
      </c>
    </row>
    <row r="5" spans="1:6">
      <c r="A5" s="156">
        <v>3</v>
      </c>
      <c r="B5" s="151" t="s">
        <v>1973</v>
      </c>
      <c r="C5" s="151" t="s">
        <v>1974</v>
      </c>
      <c r="D5" s="151" t="s">
        <v>1966</v>
      </c>
      <c r="E5" s="151" t="s">
        <v>1975</v>
      </c>
      <c r="F5" s="165" t="s">
        <v>1976</v>
      </c>
    </row>
    <row r="6" spans="1:6">
      <c r="A6" s="156"/>
      <c r="B6" s="151"/>
      <c r="C6" s="151"/>
      <c r="D6" s="151"/>
      <c r="E6" s="151" t="s">
        <v>1977</v>
      </c>
      <c r="F6" s="165" t="s">
        <v>1976</v>
      </c>
    </row>
    <row r="7" spans="1:6">
      <c r="A7" s="156">
        <v>4</v>
      </c>
      <c r="B7" s="151" t="s">
        <v>1978</v>
      </c>
      <c r="C7" s="151" t="s">
        <v>1979</v>
      </c>
      <c r="D7" s="151" t="s">
        <v>1970</v>
      </c>
      <c r="E7" s="151" t="s">
        <v>1980</v>
      </c>
      <c r="F7" s="165" t="s">
        <v>1976</v>
      </c>
    </row>
    <row r="8" spans="1:6">
      <c r="A8" s="156"/>
      <c r="B8" s="151"/>
      <c r="C8" s="151"/>
      <c r="D8" s="151"/>
      <c r="E8" s="151" t="s">
        <v>1981</v>
      </c>
      <c r="F8" s="165" t="s">
        <v>1976</v>
      </c>
    </row>
    <row r="9" spans="1:6">
      <c r="A9" s="156">
        <v>5</v>
      </c>
      <c r="B9" s="151" t="s">
        <v>734</v>
      </c>
      <c r="C9" s="151" t="s">
        <v>1982</v>
      </c>
      <c r="D9" s="151" t="s">
        <v>1970</v>
      </c>
      <c r="E9" s="151" t="s">
        <v>1983</v>
      </c>
      <c r="F9" s="165" t="s">
        <v>2102</v>
      </c>
    </row>
    <row r="10" spans="1:6">
      <c r="A10" s="156"/>
      <c r="B10" s="151"/>
      <c r="C10" s="151"/>
      <c r="D10" s="151"/>
      <c r="E10" s="151" t="s">
        <v>1984</v>
      </c>
      <c r="F10" s="165" t="s">
        <v>1976</v>
      </c>
    </row>
    <row r="11" spans="1:6">
      <c r="A11" s="156">
        <v>6</v>
      </c>
      <c r="B11" s="151" t="s">
        <v>1985</v>
      </c>
      <c r="C11" s="151" t="s">
        <v>1986</v>
      </c>
      <c r="D11" s="151" t="s">
        <v>1966</v>
      </c>
      <c r="E11" s="151" t="s">
        <v>1987</v>
      </c>
      <c r="F11" s="165" t="s">
        <v>1988</v>
      </c>
    </row>
    <row r="12" spans="1:6">
      <c r="A12" s="156">
        <v>7</v>
      </c>
      <c r="B12" s="151" t="s">
        <v>1989</v>
      </c>
      <c r="C12" s="151" t="s">
        <v>1990</v>
      </c>
      <c r="D12" s="151" t="s">
        <v>1966</v>
      </c>
      <c r="E12" s="151" t="s">
        <v>1967</v>
      </c>
      <c r="F12" s="165" t="s">
        <v>1967</v>
      </c>
    </row>
    <row r="13" spans="1:6">
      <c r="A13" s="156">
        <v>8</v>
      </c>
      <c r="B13" s="151" t="s">
        <v>1991</v>
      </c>
      <c r="C13" s="151" t="s">
        <v>1992</v>
      </c>
      <c r="D13" s="151" t="s">
        <v>1966</v>
      </c>
      <c r="E13" s="151" t="s">
        <v>1967</v>
      </c>
      <c r="F13" s="165" t="s">
        <v>1967</v>
      </c>
    </row>
    <row r="14" spans="1:6">
      <c r="A14" s="156">
        <v>9</v>
      </c>
      <c r="B14" s="151" t="s">
        <v>1623</v>
      </c>
      <c r="C14" s="151" t="s">
        <v>1993</v>
      </c>
      <c r="D14" s="179" t="s">
        <v>1970</v>
      </c>
      <c r="E14" s="151" t="s">
        <v>1994</v>
      </c>
      <c r="F14" s="165" t="s">
        <v>1976</v>
      </c>
    </row>
    <row r="15" spans="1:6">
      <c r="A15" s="156"/>
      <c r="B15" s="151"/>
      <c r="C15" s="151"/>
      <c r="D15" s="179"/>
      <c r="E15" s="151" t="s">
        <v>1995</v>
      </c>
      <c r="F15" s="165" t="s">
        <v>1976</v>
      </c>
    </row>
    <row r="16" spans="1:6">
      <c r="A16" s="156"/>
      <c r="B16" s="151"/>
      <c r="C16" s="151"/>
      <c r="D16" s="179"/>
      <c r="E16" s="151" t="s">
        <v>1996</v>
      </c>
      <c r="F16" s="165" t="s">
        <v>1997</v>
      </c>
    </row>
    <row r="17" spans="1:10">
      <c r="A17" s="157">
        <v>10</v>
      </c>
      <c r="B17" s="158" t="s">
        <v>1998</v>
      </c>
      <c r="C17" s="158"/>
      <c r="D17" s="158" t="s">
        <v>1966</v>
      </c>
      <c r="E17" s="158" t="s">
        <v>1967</v>
      </c>
      <c r="F17" s="166" t="s">
        <v>1967</v>
      </c>
    </row>
    <row r="20" spans="1:10">
      <c r="A20" s="164" t="s">
        <v>1962</v>
      </c>
      <c r="B20" s="164" t="s">
        <v>5</v>
      </c>
      <c r="C20" s="164" t="s">
        <v>832</v>
      </c>
      <c r="D20" s="164" t="s">
        <v>9</v>
      </c>
      <c r="E20" s="164" t="s">
        <v>1964</v>
      </c>
      <c r="F20" s="164" t="s">
        <v>1910</v>
      </c>
    </row>
    <row r="21" spans="1:10">
      <c r="A21" s="180">
        <v>1</v>
      </c>
      <c r="B21" s="180" t="s">
        <v>991</v>
      </c>
      <c r="C21" s="180" t="s">
        <v>1965</v>
      </c>
      <c r="D21" s="180" t="s">
        <v>1966</v>
      </c>
      <c r="E21" s="180" t="s">
        <v>1967</v>
      </c>
      <c r="F21" s="180" t="s">
        <v>1967</v>
      </c>
    </row>
    <row r="22" spans="1:10">
      <c r="A22" s="178">
        <v>2</v>
      </c>
      <c r="B22" s="178" t="s">
        <v>1968</v>
      </c>
      <c r="C22" s="178" t="s">
        <v>1969</v>
      </c>
      <c r="D22" s="178" t="s">
        <v>1970</v>
      </c>
      <c r="E22" s="178" t="s">
        <v>1971</v>
      </c>
      <c r="F22" s="178" t="s">
        <v>1972</v>
      </c>
      <c r="I22">
        <f>6.5*4</f>
        <v>26</v>
      </c>
      <c r="J22">
        <f>2.2*4</f>
        <v>8.8000000000000007</v>
      </c>
    </row>
    <row r="23" spans="1:10">
      <c r="A23" s="225">
        <v>3</v>
      </c>
      <c r="B23" s="225" t="s">
        <v>1978</v>
      </c>
      <c r="C23" s="225" t="s">
        <v>1979</v>
      </c>
      <c r="D23" s="225" t="s">
        <v>1970</v>
      </c>
      <c r="E23" s="225" t="s">
        <v>1981</v>
      </c>
      <c r="F23" s="225" t="s">
        <v>2113</v>
      </c>
      <c r="I23" s="181">
        <f>6.1*4</f>
        <v>24.4</v>
      </c>
      <c r="J23" s="181">
        <f>1.8*4</f>
        <v>7.2</v>
      </c>
    </row>
    <row r="24" spans="1:10">
      <c r="A24" s="226"/>
      <c r="B24" s="226"/>
      <c r="C24" s="226"/>
      <c r="D24" s="226"/>
      <c r="E24" s="226"/>
      <c r="F24" s="226"/>
      <c r="I24">
        <f>14.3*2</f>
        <v>28.6</v>
      </c>
      <c r="J24">
        <f>2.6*4</f>
        <v>10.4</v>
      </c>
    </row>
    <row r="25" spans="1:10" ht="28.5">
      <c r="A25" s="225">
        <v>4</v>
      </c>
      <c r="B25" s="225" t="s">
        <v>734</v>
      </c>
      <c r="C25" s="225" t="s">
        <v>1982</v>
      </c>
      <c r="D25" s="225" t="s">
        <v>1970</v>
      </c>
      <c r="E25" s="178" t="s">
        <v>1983</v>
      </c>
      <c r="F25" s="178" t="s">
        <v>2114</v>
      </c>
      <c r="I25">
        <f>SUM(I22:I24)</f>
        <v>79</v>
      </c>
      <c r="J25">
        <f>SUM(J22:J24)</f>
        <v>26.4</v>
      </c>
    </row>
    <row r="26" spans="1:10">
      <c r="A26" s="231"/>
      <c r="B26" s="231"/>
      <c r="C26" s="231"/>
      <c r="D26" s="231"/>
      <c r="E26" s="178" t="s">
        <v>1984</v>
      </c>
      <c r="F26" s="178" t="s">
        <v>2115</v>
      </c>
    </row>
    <row r="27" spans="1:10">
      <c r="A27" s="223">
        <v>5</v>
      </c>
      <c r="B27" s="234" t="s">
        <v>1985</v>
      </c>
      <c r="C27" s="223" t="s">
        <v>1986</v>
      </c>
      <c r="D27" s="232" t="s">
        <v>1966</v>
      </c>
      <c r="E27" s="221" t="s">
        <v>2104</v>
      </c>
      <c r="F27" s="219" t="s">
        <v>2116</v>
      </c>
      <c r="I27" s="181" t="s">
        <v>2118</v>
      </c>
    </row>
    <row r="28" spans="1:10">
      <c r="A28" s="224"/>
      <c r="B28" s="235"/>
      <c r="C28" s="224"/>
      <c r="D28" s="233"/>
      <c r="E28" s="222"/>
      <c r="F28" s="220"/>
    </row>
    <row r="29" spans="1:10">
      <c r="A29" s="227">
        <v>6</v>
      </c>
      <c r="B29" s="227" t="s">
        <v>1989</v>
      </c>
      <c r="C29" s="227" t="s">
        <v>1990</v>
      </c>
      <c r="D29" s="227" t="s">
        <v>1966</v>
      </c>
      <c r="E29" s="219" t="s">
        <v>2103</v>
      </c>
      <c r="F29" s="219" t="s">
        <v>2117</v>
      </c>
    </row>
    <row r="30" spans="1:10">
      <c r="A30" s="220"/>
      <c r="B30" s="220"/>
      <c r="C30" s="220"/>
      <c r="D30" s="220"/>
      <c r="E30" s="220"/>
      <c r="F30" s="220"/>
      <c r="I30" s="181" t="s">
        <v>2119</v>
      </c>
      <c r="J30" s="183" t="s">
        <v>2120</v>
      </c>
    </row>
    <row r="31" spans="1:10">
      <c r="A31" s="225">
        <v>7</v>
      </c>
      <c r="B31" s="225" t="s">
        <v>1623</v>
      </c>
      <c r="C31" s="225" t="s">
        <v>1993</v>
      </c>
      <c r="D31" s="228" t="s">
        <v>1970</v>
      </c>
      <c r="E31" s="178" t="s">
        <v>1994</v>
      </c>
      <c r="F31" s="178" t="s">
        <v>1976</v>
      </c>
      <c r="I31" s="181" t="s">
        <v>2121</v>
      </c>
    </row>
    <row r="32" spans="1:10">
      <c r="A32" s="231"/>
      <c r="B32" s="231"/>
      <c r="C32" s="231"/>
      <c r="D32" s="229"/>
      <c r="E32" s="178" t="s">
        <v>1995</v>
      </c>
      <c r="F32" s="178" t="s">
        <v>1976</v>
      </c>
    </row>
    <row r="33" spans="1:6">
      <c r="A33" s="226"/>
      <c r="B33" s="226"/>
      <c r="C33" s="226"/>
      <c r="D33" s="230"/>
      <c r="E33" s="178" t="s">
        <v>1996</v>
      </c>
      <c r="F33" s="178" t="s">
        <v>1997</v>
      </c>
    </row>
    <row r="34" spans="1:6">
      <c r="A34" s="219">
        <v>3</v>
      </c>
      <c r="B34" s="219" t="s">
        <v>1973</v>
      </c>
      <c r="C34" s="219" t="s">
        <v>1974</v>
      </c>
      <c r="D34" s="219" t="s">
        <v>1966</v>
      </c>
      <c r="E34" s="219" t="s">
        <v>1975</v>
      </c>
      <c r="F34" s="219" t="s">
        <v>1976</v>
      </c>
    </row>
    <row r="35" spans="1:6">
      <c r="A35" s="227"/>
      <c r="B35" s="227"/>
      <c r="C35" s="227"/>
      <c r="D35" s="227"/>
      <c r="E35" s="220" t="s">
        <v>1977</v>
      </c>
      <c r="F35" s="220" t="s">
        <v>1976</v>
      </c>
    </row>
    <row r="36" spans="1:6">
      <c r="A36" s="220"/>
      <c r="B36" s="220"/>
      <c r="C36" s="220"/>
      <c r="D36" s="220"/>
      <c r="E36" s="182" t="s">
        <v>2139</v>
      </c>
      <c r="F36" s="182" t="s">
        <v>2140</v>
      </c>
    </row>
    <row r="37" spans="1:6">
      <c r="A37" s="182">
        <v>8</v>
      </c>
      <c r="B37" s="182" t="s">
        <v>1991</v>
      </c>
      <c r="C37" s="182" t="s">
        <v>1992</v>
      </c>
      <c r="D37" s="182" t="s">
        <v>1966</v>
      </c>
      <c r="E37" s="182" t="s">
        <v>2142</v>
      </c>
      <c r="F37" s="182" t="s">
        <v>2141</v>
      </c>
    </row>
    <row r="38" spans="1:6">
      <c r="A38" s="182">
        <v>10</v>
      </c>
      <c r="B38" s="182" t="s">
        <v>1998</v>
      </c>
      <c r="C38" s="182"/>
      <c r="D38" s="182" t="s">
        <v>1966</v>
      </c>
      <c r="E38" s="182" t="s">
        <v>2143</v>
      </c>
      <c r="F38" s="182" t="s">
        <v>2144</v>
      </c>
    </row>
  </sheetData>
  <mergeCells count="32">
    <mergeCell ref="F23:F24"/>
    <mergeCell ref="B29:B30"/>
    <mergeCell ref="A29:A30"/>
    <mergeCell ref="B23:B24"/>
    <mergeCell ref="A23:A24"/>
    <mergeCell ref="C23:C24"/>
    <mergeCell ref="D23:D24"/>
    <mergeCell ref="D25:D26"/>
    <mergeCell ref="C25:C26"/>
    <mergeCell ref="A25:A26"/>
    <mergeCell ref="B25:B26"/>
    <mergeCell ref="D29:D30"/>
    <mergeCell ref="C29:C30"/>
    <mergeCell ref="D27:D28"/>
    <mergeCell ref="C27:C28"/>
    <mergeCell ref="B27:B28"/>
    <mergeCell ref="A27:A28"/>
    <mergeCell ref="E23:E24"/>
    <mergeCell ref="A34:A36"/>
    <mergeCell ref="B34:B36"/>
    <mergeCell ref="C34:C36"/>
    <mergeCell ref="D34:D36"/>
    <mergeCell ref="D31:D33"/>
    <mergeCell ref="C31:C33"/>
    <mergeCell ref="B31:B33"/>
    <mergeCell ref="A31:A33"/>
    <mergeCell ref="E34:E35"/>
    <mergeCell ref="F34:F35"/>
    <mergeCell ref="E27:E28"/>
    <mergeCell ref="F27:F28"/>
    <mergeCell ref="E29:E30"/>
    <mergeCell ref="F29:F30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EACA-CB1E-4A12-B8DC-0CF0E14F934F}">
  <dimension ref="B2:G7"/>
  <sheetViews>
    <sheetView workbookViewId="0">
      <selection activeCell="H5" sqref="H5"/>
    </sheetView>
  </sheetViews>
  <sheetFormatPr baseColWidth="10" defaultRowHeight="15"/>
  <cols>
    <col min="3" max="3" width="17.85546875" customWidth="1"/>
    <col min="7" max="7" width="31.5703125" customWidth="1"/>
    <col min="8" max="8" width="37" customWidth="1"/>
  </cols>
  <sheetData>
    <row r="2" spans="2:7">
      <c r="B2" s="187" t="s">
        <v>2182</v>
      </c>
      <c r="C2" s="187" t="s">
        <v>2</v>
      </c>
      <c r="D2" s="187" t="s">
        <v>4</v>
      </c>
      <c r="E2" s="187" t="s">
        <v>5</v>
      </c>
      <c r="F2" s="187" t="s">
        <v>2183</v>
      </c>
      <c r="G2" s="187" t="s">
        <v>1910</v>
      </c>
    </row>
    <row r="3" spans="2:7" ht="41.25" customHeight="1">
      <c r="B3" s="151">
        <v>730</v>
      </c>
      <c r="C3" s="151" t="s">
        <v>2167</v>
      </c>
      <c r="D3" s="148" t="s">
        <v>1720</v>
      </c>
      <c r="E3" s="151" t="s">
        <v>233</v>
      </c>
      <c r="F3" s="165" t="s">
        <v>2173</v>
      </c>
      <c r="G3" s="186" t="s">
        <v>2181</v>
      </c>
    </row>
    <row r="4" spans="2:7">
      <c r="B4" s="151">
        <v>733</v>
      </c>
      <c r="C4" s="151" t="s">
        <v>2167</v>
      </c>
      <c r="D4" s="148" t="s">
        <v>19</v>
      </c>
      <c r="E4" s="151" t="s">
        <v>2169</v>
      </c>
      <c r="F4" s="165" t="s">
        <v>2174</v>
      </c>
      <c r="G4" s="186" t="s">
        <v>2178</v>
      </c>
    </row>
    <row r="5" spans="2:7">
      <c r="B5" s="151">
        <v>731</v>
      </c>
      <c r="C5" s="151" t="s">
        <v>2167</v>
      </c>
      <c r="D5" s="148" t="s">
        <v>1720</v>
      </c>
      <c r="E5" s="151" t="s">
        <v>2170</v>
      </c>
      <c r="F5" s="165" t="s">
        <v>2175</v>
      </c>
      <c r="G5" s="186" t="s">
        <v>2179</v>
      </c>
    </row>
    <row r="6" spans="2:7">
      <c r="B6" s="188" t="s">
        <v>437</v>
      </c>
      <c r="C6" s="188" t="s">
        <v>562</v>
      </c>
      <c r="D6" s="188" t="s">
        <v>25</v>
      </c>
      <c r="E6" s="188" t="s">
        <v>2168</v>
      </c>
      <c r="F6" s="190" t="s">
        <v>2172</v>
      </c>
      <c r="G6" s="191" t="s">
        <v>2180</v>
      </c>
    </row>
    <row r="7" spans="2:7">
      <c r="B7" s="186">
        <v>260</v>
      </c>
      <c r="C7" s="186" t="s">
        <v>2167</v>
      </c>
      <c r="D7" s="189" t="s">
        <v>1720</v>
      </c>
      <c r="E7" s="186" t="s">
        <v>89</v>
      </c>
      <c r="F7" s="186" t="s">
        <v>2176</v>
      </c>
      <c r="G7" s="186" t="s">
        <v>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CONTROL DE EQUIPOS CABELAB</vt:lpstr>
      <vt:lpstr>Hoja3</vt:lpstr>
      <vt:lpstr>MATRIZ</vt:lpstr>
      <vt:lpstr>EQUIPOS ANTIGUOS </vt:lpstr>
      <vt:lpstr>CAPEX CABELAB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2024-07-05T16:13:20Z</dcterms:created>
  <dcterms:modified xsi:type="dcterms:W3CDTF">2025-12-30T19:40:11Z</dcterms:modified>
</cp:coreProperties>
</file>